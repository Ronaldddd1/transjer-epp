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ly murga\OneDrive\Desktop\FLETE PROVEEDORES\"/>
    </mc:Choice>
  </mc:AlternateContent>
  <xr:revisionPtr revIDLastSave="0" documentId="8_{ABCFB16F-3F4D-4295-AA99-3F8B0D6F0F7D}" xr6:coauthVersionLast="47" xr6:coauthVersionMax="47" xr10:uidLastSave="{00000000-0000-0000-0000-000000000000}"/>
  <bookViews>
    <workbookView xWindow="-108" yWindow="-108" windowWidth="23256" windowHeight="12456" xr2:uid="{376FE3D1-D28F-48C6-9FB3-CA4932D873F6}"/>
  </bookViews>
  <sheets>
    <sheet name="PROVEEDORES LOCAL-PROVINCIA" sheetId="1" r:id="rId1"/>
    <sheet name="Hoja1" sheetId="17" r:id="rId2"/>
    <sheet name="TD 1" sheetId="4" r:id="rId3"/>
    <sheet name="TD 2 MAYO" sheetId="12" r:id="rId4"/>
    <sheet name="Hoja8" sheetId="16" r:id="rId5"/>
    <sheet name="Hoja5" sheetId="11" r:id="rId6"/>
    <sheet name="COMO FACTURAR" sheetId="7" r:id="rId7"/>
    <sheet name="CONTROL DE COSTOS POR ESTIBA" sheetId="8" r:id="rId8"/>
  </sheets>
  <definedNames>
    <definedName name="_xlnm._FilterDatabase" localSheetId="0" hidden="1">'PROVEEDORES LOCAL-PROVINCIA'!$A$2:$Z$168</definedName>
    <definedName name="_xlnm.Print_Area" localSheetId="0">'PROVEEDORES LOCAL-PROVINCIA'!$A$1:$V$150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2" i="1" l="1"/>
  <c r="N152" i="1" s="1"/>
  <c r="P152" i="1" s="1"/>
  <c r="R152" i="1" s="1"/>
  <c r="M149" i="1"/>
  <c r="N149" i="1" s="1"/>
  <c r="P149" i="1" s="1"/>
  <c r="R149" i="1" s="1"/>
  <c r="Q159" i="1"/>
  <c r="Q156" i="1"/>
  <c r="Q129" i="1"/>
  <c r="Q123" i="1"/>
  <c r="M148" i="1"/>
  <c r="N148" i="1" s="1"/>
  <c r="P148" i="1" s="1"/>
  <c r="R148" i="1" s="1"/>
  <c r="M143" i="1"/>
  <c r="N143" i="1" s="1"/>
  <c r="M132" i="1"/>
  <c r="N132" i="1" s="1"/>
  <c r="P132" i="1" s="1"/>
  <c r="R132" i="1" s="1"/>
  <c r="Q124" i="1"/>
  <c r="M124" i="1"/>
  <c r="N124" i="1" s="1"/>
  <c r="P124" i="1" s="1"/>
  <c r="M123" i="1"/>
  <c r="N123" i="1" s="1"/>
  <c r="P123" i="1" s="1"/>
  <c r="M129" i="1"/>
  <c r="N129" i="1" s="1"/>
  <c r="P129" i="1" s="1"/>
  <c r="M133" i="1"/>
  <c r="N133" i="1" s="1"/>
  <c r="M131" i="1"/>
  <c r="N131" i="1" s="1"/>
  <c r="P131" i="1" s="1"/>
  <c r="Q117" i="1"/>
  <c r="M117" i="1"/>
  <c r="N117" i="1" s="1"/>
  <c r="M110" i="1"/>
  <c r="N110" i="1" s="1"/>
  <c r="M109" i="1"/>
  <c r="N109" i="1" s="1"/>
  <c r="M103" i="1"/>
  <c r="N103" i="1" s="1"/>
  <c r="O103" i="1" s="1"/>
  <c r="P103" i="1" s="1"/>
  <c r="R103" i="1" s="1"/>
  <c r="M108" i="1"/>
  <c r="N108" i="1" s="1"/>
  <c r="M107" i="1"/>
  <c r="N107" i="1" s="1"/>
  <c r="M106" i="1"/>
  <c r="N106" i="1" s="1"/>
  <c r="Q101" i="1"/>
  <c r="M93" i="1"/>
  <c r="N93" i="1" s="1"/>
  <c r="M94" i="1"/>
  <c r="N94" i="1" s="1"/>
  <c r="M114" i="1"/>
  <c r="N114" i="1" s="1"/>
  <c r="M168" i="1"/>
  <c r="N168" i="1" s="1"/>
  <c r="M167" i="1"/>
  <c r="N167" i="1" s="1"/>
  <c r="M166" i="1"/>
  <c r="N166" i="1" s="1"/>
  <c r="M165" i="1"/>
  <c r="N165" i="1" s="1"/>
  <c r="M164" i="1"/>
  <c r="N164" i="1" s="1"/>
  <c r="O164" i="1" s="1"/>
  <c r="M163" i="1"/>
  <c r="N163" i="1" s="1"/>
  <c r="M162" i="1"/>
  <c r="N162" i="1" s="1"/>
  <c r="M161" i="1"/>
  <c r="N161" i="1" s="1"/>
  <c r="M160" i="1"/>
  <c r="N160" i="1" s="1"/>
  <c r="M159" i="1"/>
  <c r="N159" i="1" s="1"/>
  <c r="M158" i="1"/>
  <c r="N158" i="1" s="1"/>
  <c r="O158" i="1" s="1"/>
  <c r="M157" i="1"/>
  <c r="N157" i="1" s="1"/>
  <c r="M156" i="1"/>
  <c r="N156" i="1" s="1"/>
  <c r="M155" i="1"/>
  <c r="N155" i="1" s="1"/>
  <c r="M154" i="1"/>
  <c r="N154" i="1" s="1"/>
  <c r="M153" i="1"/>
  <c r="N153" i="1" s="1"/>
  <c r="M151" i="1"/>
  <c r="N151" i="1" s="1"/>
  <c r="M150" i="1"/>
  <c r="N150" i="1" s="1"/>
  <c r="M147" i="1"/>
  <c r="N147" i="1" s="1"/>
  <c r="M140" i="1"/>
  <c r="N140" i="1" s="1"/>
  <c r="M141" i="1"/>
  <c r="N141" i="1" s="1"/>
  <c r="M142" i="1"/>
  <c r="N142" i="1" s="1"/>
  <c r="M144" i="1"/>
  <c r="N144" i="1" s="1"/>
  <c r="M145" i="1"/>
  <c r="N145" i="1" s="1"/>
  <c r="M146" i="1"/>
  <c r="N146" i="1" s="1"/>
  <c r="M139" i="1"/>
  <c r="N139" i="1" s="1"/>
  <c r="M138" i="1"/>
  <c r="N138" i="1" s="1"/>
  <c r="M137" i="1"/>
  <c r="N137" i="1" s="1"/>
  <c r="M136" i="1"/>
  <c r="N136" i="1" s="1"/>
  <c r="M135" i="1"/>
  <c r="N135" i="1" s="1"/>
  <c r="M134" i="1"/>
  <c r="N134" i="1" s="1"/>
  <c r="M130" i="1"/>
  <c r="N130" i="1" s="1"/>
  <c r="M128" i="1"/>
  <c r="N128" i="1" s="1"/>
  <c r="M127" i="1"/>
  <c r="N127" i="1" s="1"/>
  <c r="M126" i="1"/>
  <c r="N126" i="1" s="1"/>
  <c r="M125" i="1"/>
  <c r="N125" i="1" s="1"/>
  <c r="P125" i="1" s="1"/>
  <c r="R125" i="1" s="1"/>
  <c r="M122" i="1"/>
  <c r="N122" i="1" s="1"/>
  <c r="M121" i="1"/>
  <c r="N121" i="1" s="1"/>
  <c r="M120" i="1"/>
  <c r="N120" i="1" s="1"/>
  <c r="M119" i="1"/>
  <c r="N119" i="1" s="1"/>
  <c r="M118" i="1"/>
  <c r="N118" i="1" s="1"/>
  <c r="M104" i="1"/>
  <c r="N104" i="1" s="1"/>
  <c r="M116" i="1"/>
  <c r="N116" i="1" s="1"/>
  <c r="M115" i="1"/>
  <c r="N115" i="1" s="1"/>
  <c r="M99" i="1"/>
  <c r="N99" i="1" s="1"/>
  <c r="M100" i="1"/>
  <c r="N100" i="1" s="1"/>
  <c r="M101" i="1"/>
  <c r="N101" i="1" s="1"/>
  <c r="P101" i="1" s="1"/>
  <c r="M102" i="1"/>
  <c r="N102" i="1" s="1"/>
  <c r="M105" i="1"/>
  <c r="N105" i="1" s="1"/>
  <c r="P105" i="1" s="1"/>
  <c r="R105" i="1" s="1"/>
  <c r="M111" i="1"/>
  <c r="N111" i="1" s="1"/>
  <c r="M112" i="1"/>
  <c r="N112" i="1" s="1"/>
  <c r="M113" i="1"/>
  <c r="N113" i="1" s="1"/>
  <c r="Q93" i="1"/>
  <c r="M84" i="1"/>
  <c r="N84" i="1" s="1"/>
  <c r="M67" i="1"/>
  <c r="N67" i="1" s="1"/>
  <c r="O67" i="1" s="1"/>
  <c r="P67" i="1" s="1"/>
  <c r="R67" i="1" s="1"/>
  <c r="Q92" i="1"/>
  <c r="Q91" i="1"/>
  <c r="Q90" i="1"/>
  <c r="Q89" i="1"/>
  <c r="M98" i="1"/>
  <c r="N98" i="1" s="1"/>
  <c r="M97" i="1"/>
  <c r="N97" i="1" s="1"/>
  <c r="M96" i="1"/>
  <c r="N96" i="1" s="1"/>
  <c r="M95" i="1"/>
  <c r="N95" i="1" s="1"/>
  <c r="M92" i="1"/>
  <c r="N92" i="1" s="1"/>
  <c r="M91" i="1"/>
  <c r="N91" i="1" s="1"/>
  <c r="M90" i="1"/>
  <c r="N90" i="1" s="1"/>
  <c r="M89" i="1"/>
  <c r="N89" i="1" s="1"/>
  <c r="M88" i="1"/>
  <c r="N88" i="1" s="1"/>
  <c r="M86" i="1"/>
  <c r="N86" i="1" s="1"/>
  <c r="Q87" i="1"/>
  <c r="Q81" i="1"/>
  <c r="Q71" i="1"/>
  <c r="Q65" i="1"/>
  <c r="M85" i="1"/>
  <c r="N85" i="1" s="1"/>
  <c r="M87" i="1"/>
  <c r="N87" i="1" s="1"/>
  <c r="M83" i="1"/>
  <c r="N83" i="1" s="1"/>
  <c r="Q58" i="1"/>
  <c r="M81" i="1"/>
  <c r="N81" i="1" s="1"/>
  <c r="M82" i="1"/>
  <c r="N82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R129" i="1" l="1"/>
  <c r="R123" i="1"/>
  <c r="P143" i="1"/>
  <c r="R143" i="1" s="1"/>
  <c r="R124" i="1"/>
  <c r="R101" i="1"/>
  <c r="P117" i="1"/>
  <c r="R117" i="1" s="1"/>
  <c r="O109" i="1"/>
  <c r="P109" i="1" s="1"/>
  <c r="R109" i="1" s="1"/>
  <c r="O110" i="1"/>
  <c r="P110" i="1" s="1"/>
  <c r="R110" i="1" s="1"/>
  <c r="P106" i="1"/>
  <c r="R106" i="1" s="1"/>
  <c r="P107" i="1"/>
  <c r="R107" i="1" s="1"/>
  <c r="P108" i="1"/>
  <c r="R108" i="1" s="1"/>
  <c r="P114" i="1"/>
  <c r="R114" i="1" s="1"/>
  <c r="P138" i="1"/>
  <c r="R138" i="1" s="1"/>
  <c r="O163" i="1"/>
  <c r="P163" i="1" s="1"/>
  <c r="R163" i="1" s="1"/>
  <c r="P127" i="1"/>
  <c r="R127" i="1" s="1"/>
  <c r="P155" i="1"/>
  <c r="R155" i="1" s="1"/>
  <c r="P116" i="1"/>
  <c r="R116" i="1" s="1"/>
  <c r="P119" i="1"/>
  <c r="R119" i="1" s="1"/>
  <c r="O162" i="1"/>
  <c r="P162" i="1" s="1"/>
  <c r="R162" i="1" s="1"/>
  <c r="O166" i="1"/>
  <c r="P166" i="1" s="1"/>
  <c r="R166" i="1" s="1"/>
  <c r="P135" i="1"/>
  <c r="R135" i="1" s="1"/>
  <c r="P139" i="1"/>
  <c r="R139" i="1" s="1"/>
  <c r="P120" i="1"/>
  <c r="R120" i="1" s="1"/>
  <c r="P126" i="1"/>
  <c r="R126" i="1" s="1"/>
  <c r="P142" i="1"/>
  <c r="R142" i="1" s="1"/>
  <c r="P104" i="1"/>
  <c r="R104" i="1" s="1"/>
  <c r="P136" i="1"/>
  <c r="R136" i="1" s="1"/>
  <c r="P146" i="1"/>
  <c r="R146" i="1" s="1"/>
  <c r="O153" i="1"/>
  <c r="P153" i="1" s="1"/>
  <c r="R153" i="1" s="1"/>
  <c r="P156" i="1"/>
  <c r="R156" i="1" s="1"/>
  <c r="O168" i="1"/>
  <c r="P168" i="1" s="1"/>
  <c r="R168" i="1" s="1"/>
  <c r="O130" i="1"/>
  <c r="P130" i="1" s="1"/>
  <c r="R130" i="1" s="1"/>
  <c r="P141" i="1"/>
  <c r="R141" i="1" s="1"/>
  <c r="O147" i="1"/>
  <c r="P147" i="1" s="1"/>
  <c r="R147" i="1" s="1"/>
  <c r="P160" i="1"/>
  <c r="R160" i="1" s="1"/>
  <c r="P164" i="1"/>
  <c r="R164" i="1" s="1"/>
  <c r="P121" i="1"/>
  <c r="R121" i="1" s="1"/>
  <c r="P133" i="1"/>
  <c r="R133" i="1" s="1"/>
  <c r="P137" i="1"/>
  <c r="R137" i="1" s="1"/>
  <c r="P154" i="1"/>
  <c r="R154" i="1" s="1"/>
  <c r="P157" i="1"/>
  <c r="R157" i="1" s="1"/>
  <c r="P115" i="1"/>
  <c r="R115" i="1" s="1"/>
  <c r="P118" i="1"/>
  <c r="R118" i="1" s="1"/>
  <c r="P128" i="1"/>
  <c r="R128" i="1" s="1"/>
  <c r="P145" i="1"/>
  <c r="R145" i="1" s="1"/>
  <c r="P140" i="1"/>
  <c r="R140" i="1" s="1"/>
  <c r="O161" i="1"/>
  <c r="P161" i="1" s="1"/>
  <c r="R161" i="1" s="1"/>
  <c r="O165" i="1"/>
  <c r="P165" i="1" s="1"/>
  <c r="R165" i="1" s="1"/>
  <c r="P122" i="1"/>
  <c r="R122" i="1" s="1"/>
  <c r="P150" i="1"/>
  <c r="R150" i="1" s="1"/>
  <c r="P158" i="1"/>
  <c r="R158" i="1" s="1"/>
  <c r="O167" i="1"/>
  <c r="P167" i="1" s="1"/>
  <c r="R167" i="1" s="1"/>
  <c r="P134" i="1"/>
  <c r="R134" i="1" s="1"/>
  <c r="O144" i="1"/>
  <c r="P144" i="1" s="1"/>
  <c r="R144" i="1" s="1"/>
  <c r="P151" i="1"/>
  <c r="R151" i="1" s="1"/>
  <c r="P159" i="1"/>
  <c r="R159" i="1" s="1"/>
  <c r="P112" i="1"/>
  <c r="R112" i="1" s="1"/>
  <c r="P111" i="1"/>
  <c r="R111" i="1" s="1"/>
  <c r="P102" i="1"/>
  <c r="R102" i="1" s="1"/>
  <c r="P99" i="1"/>
  <c r="R99" i="1" s="1"/>
  <c r="P100" i="1"/>
  <c r="R100" i="1" s="1"/>
  <c r="P113" i="1"/>
  <c r="R113" i="1" s="1"/>
  <c r="P95" i="1"/>
  <c r="R95" i="1" s="1"/>
  <c r="P94" i="1"/>
  <c r="R94" i="1" s="1"/>
  <c r="P84" i="1"/>
  <c r="R84" i="1" s="1"/>
  <c r="P96" i="1"/>
  <c r="R96" i="1" s="1"/>
  <c r="P97" i="1"/>
  <c r="R97" i="1" s="1"/>
  <c r="P98" i="1"/>
  <c r="R98" i="1" s="1"/>
  <c r="P93" i="1"/>
  <c r="R93" i="1" s="1"/>
  <c r="O91" i="1"/>
  <c r="P91" i="1" s="1"/>
  <c r="R91" i="1" s="1"/>
  <c r="P92" i="1"/>
  <c r="R92" i="1" s="1"/>
  <c r="P86" i="1"/>
  <c r="R86" i="1" s="1"/>
  <c r="P88" i="1"/>
  <c r="R88" i="1" s="1"/>
  <c r="P89" i="1"/>
  <c r="R89" i="1" s="1"/>
  <c r="P90" i="1"/>
  <c r="R90" i="1" s="1"/>
  <c r="O85" i="1"/>
  <c r="P85" i="1" s="1"/>
  <c r="R85" i="1" s="1"/>
  <c r="O83" i="1"/>
  <c r="P83" i="1" s="1"/>
  <c r="R83" i="1" s="1"/>
  <c r="P87" i="1"/>
  <c r="R87" i="1" s="1"/>
  <c r="P81" i="1"/>
  <c r="R81" i="1" s="1"/>
  <c r="P82" i="1"/>
  <c r="R82" i="1" s="1"/>
  <c r="P78" i="1"/>
  <c r="R78" i="1" s="1"/>
  <c r="P79" i="1"/>
  <c r="R79" i="1" s="1"/>
  <c r="P80" i="1"/>
  <c r="R80" i="1" s="1"/>
  <c r="P77" i="1"/>
  <c r="R77" i="1" s="1"/>
  <c r="P76" i="1"/>
  <c r="R76" i="1" s="1"/>
  <c r="P75" i="1"/>
  <c r="R75" i="1" s="1"/>
  <c r="Q42" i="1" l="1"/>
  <c r="M42" i="1"/>
  <c r="N42" i="1" s="1"/>
  <c r="P42" i="1" s="1"/>
  <c r="M74" i="1"/>
  <c r="N74" i="1" s="1"/>
  <c r="O74" i="1" s="1"/>
  <c r="M73" i="1"/>
  <c r="N73" i="1" s="1"/>
  <c r="M72" i="1"/>
  <c r="N72" i="1" s="1"/>
  <c r="Q66" i="1"/>
  <c r="M71" i="1"/>
  <c r="N71" i="1" s="1"/>
  <c r="M70" i="1"/>
  <c r="N70" i="1" s="1"/>
  <c r="Q62" i="1"/>
  <c r="M69" i="1"/>
  <c r="N69" i="1" s="1"/>
  <c r="Q59" i="1"/>
  <c r="M61" i="1"/>
  <c r="N61" i="1" s="1"/>
  <c r="M68" i="1"/>
  <c r="N68" i="1" s="1"/>
  <c r="M66" i="1"/>
  <c r="N66" i="1" s="1"/>
  <c r="O66" i="1" s="1"/>
  <c r="M65" i="1"/>
  <c r="N65" i="1" s="1"/>
  <c r="M64" i="1"/>
  <c r="N64" i="1" s="1"/>
  <c r="M63" i="1"/>
  <c r="N63" i="1" s="1"/>
  <c r="M62" i="1"/>
  <c r="N62" i="1" s="1"/>
  <c r="Q60" i="1"/>
  <c r="Q56" i="1"/>
  <c r="Q57" i="1"/>
  <c r="M58" i="1"/>
  <c r="N58" i="1" s="1"/>
  <c r="M60" i="1"/>
  <c r="N60" i="1" s="1"/>
  <c r="M59" i="1"/>
  <c r="N59" i="1" s="1"/>
  <c r="Q54" i="1"/>
  <c r="Q51" i="1"/>
  <c r="Q53" i="1"/>
  <c r="Q55" i="1"/>
  <c r="M45" i="1"/>
  <c r="N45" i="1" s="1"/>
  <c r="M46" i="1"/>
  <c r="N46" i="1" s="1"/>
  <c r="P46" i="1" s="1"/>
  <c r="Q46" i="1"/>
  <c r="M57" i="1"/>
  <c r="N57" i="1" s="1"/>
  <c r="M56" i="1"/>
  <c r="N56" i="1" s="1"/>
  <c r="Q48" i="1"/>
  <c r="Q49" i="1"/>
  <c r="M55" i="1"/>
  <c r="N55" i="1" s="1"/>
  <c r="P55" i="1" s="1"/>
  <c r="R55" i="1" s="1"/>
  <c r="M49" i="1"/>
  <c r="N49" i="1" s="1"/>
  <c r="P49" i="1" s="1"/>
  <c r="Q50" i="1"/>
  <c r="M50" i="1"/>
  <c r="N50" i="1" s="1"/>
  <c r="Q47" i="1"/>
  <c r="Q40" i="1"/>
  <c r="Q39" i="1"/>
  <c r="Q41" i="1"/>
  <c r="M51" i="1"/>
  <c r="N51" i="1" s="1"/>
  <c r="P51" i="1" s="1"/>
  <c r="M37" i="1"/>
  <c r="N37" i="1" s="1"/>
  <c r="Q32" i="1"/>
  <c r="M47" i="1"/>
  <c r="N47" i="1" s="1"/>
  <c r="M48" i="1"/>
  <c r="N48" i="1" s="1"/>
  <c r="P48" i="1" s="1"/>
  <c r="M53" i="1"/>
  <c r="N53" i="1" s="1"/>
  <c r="P53" i="1" s="1"/>
  <c r="M54" i="1"/>
  <c r="N54" i="1" s="1"/>
  <c r="P54" i="1" s="1"/>
  <c r="M52" i="1"/>
  <c r="N52" i="1" s="1"/>
  <c r="O52" i="1" s="1"/>
  <c r="P52" i="1" s="1"/>
  <c r="R52" i="1" s="1"/>
  <c r="Q30" i="1"/>
  <c r="Q29" i="1"/>
  <c r="Q34" i="1"/>
  <c r="M44" i="1"/>
  <c r="N44" i="1" s="1"/>
  <c r="M38" i="1"/>
  <c r="N38" i="1" s="1"/>
  <c r="Q26" i="1"/>
  <c r="Q27" i="1"/>
  <c r="M27" i="1"/>
  <c r="N27" i="1" s="1"/>
  <c r="P27" i="1" s="1"/>
  <c r="Q25" i="1"/>
  <c r="Q28" i="1"/>
  <c r="Q21" i="1"/>
  <c r="Q19" i="1"/>
  <c r="M22" i="1"/>
  <c r="N22" i="1" s="1"/>
  <c r="H4" i="8"/>
  <c r="Q20" i="1"/>
  <c r="M20" i="1"/>
  <c r="N20" i="1" s="1"/>
  <c r="Q18" i="1"/>
  <c r="Q15" i="1"/>
  <c r="Q12" i="1"/>
  <c r="Q11" i="1"/>
  <c r="Q9" i="1"/>
  <c r="Q8" i="1"/>
  <c r="Q7" i="1"/>
  <c r="M6" i="1"/>
  <c r="N6" i="1" s="1"/>
  <c r="Q23" i="1"/>
  <c r="Q24" i="1"/>
  <c r="Q17" i="1"/>
  <c r="Q16" i="1"/>
  <c r="Q14" i="1"/>
  <c r="M34" i="1"/>
  <c r="N34" i="1" s="1"/>
  <c r="O34" i="1" s="1"/>
  <c r="M33" i="1"/>
  <c r="N33" i="1" s="1"/>
  <c r="O33" i="1" s="1"/>
  <c r="M32" i="1"/>
  <c r="N32" i="1" s="1"/>
  <c r="P32" i="1" s="1"/>
  <c r="M31" i="1"/>
  <c r="N31" i="1" s="1"/>
  <c r="O31" i="1" s="1"/>
  <c r="M30" i="1"/>
  <c r="N30" i="1" s="1"/>
  <c r="P30" i="1" s="1"/>
  <c r="M29" i="1"/>
  <c r="N29" i="1" s="1"/>
  <c r="P29" i="1" s="1"/>
  <c r="M28" i="1"/>
  <c r="N28" i="1" s="1"/>
  <c r="P28" i="1" s="1"/>
  <c r="M26" i="1"/>
  <c r="N26" i="1" s="1"/>
  <c r="P26" i="1" s="1"/>
  <c r="M25" i="1"/>
  <c r="N25" i="1" s="1"/>
  <c r="P25" i="1" s="1"/>
  <c r="M24" i="1"/>
  <c r="N24" i="1" s="1"/>
  <c r="M23" i="1"/>
  <c r="N23" i="1" s="1"/>
  <c r="O23" i="1" s="1"/>
  <c r="M43" i="1"/>
  <c r="N43" i="1" s="1"/>
  <c r="M41" i="1"/>
  <c r="N41" i="1" s="1"/>
  <c r="M40" i="1"/>
  <c r="N40" i="1" s="1"/>
  <c r="M39" i="1"/>
  <c r="N39" i="1" s="1"/>
  <c r="M36" i="1"/>
  <c r="N36" i="1" s="1"/>
  <c r="M35" i="1"/>
  <c r="N35" i="1" s="1"/>
  <c r="O35" i="1" s="1"/>
  <c r="M3" i="1"/>
  <c r="N3" i="1" s="1"/>
  <c r="M4" i="1"/>
  <c r="N4" i="1" s="1"/>
  <c r="M5" i="1"/>
  <c r="N5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P15" i="1" s="1"/>
  <c r="M16" i="1"/>
  <c r="N16" i="1" s="1"/>
  <c r="M17" i="1"/>
  <c r="N17" i="1" s="1"/>
  <c r="M18" i="1"/>
  <c r="N18" i="1" s="1"/>
  <c r="M19" i="1"/>
  <c r="N19" i="1" s="1"/>
  <c r="M21" i="1"/>
  <c r="N21" i="1" s="1"/>
  <c r="R42" i="1" l="1"/>
  <c r="P74" i="1"/>
  <c r="R74" i="1" s="1"/>
  <c r="P72" i="1"/>
  <c r="R72" i="1" s="1"/>
  <c r="P73" i="1"/>
  <c r="R73" i="1" s="1"/>
  <c r="P71" i="1"/>
  <c r="R71" i="1" s="1"/>
  <c r="O70" i="1"/>
  <c r="P70" i="1" s="1"/>
  <c r="R70" i="1" s="1"/>
  <c r="P69" i="1"/>
  <c r="R69" i="1" s="1"/>
  <c r="P61" i="1"/>
  <c r="R61" i="1" s="1"/>
  <c r="R46" i="1"/>
  <c r="R51" i="1"/>
  <c r="R54" i="1"/>
  <c r="P64" i="1"/>
  <c r="R64" i="1" s="1"/>
  <c r="P65" i="1"/>
  <c r="R65" i="1" s="1"/>
  <c r="P68" i="1"/>
  <c r="R68" i="1" s="1"/>
  <c r="P63" i="1"/>
  <c r="R63" i="1" s="1"/>
  <c r="P66" i="1"/>
  <c r="R66" i="1" s="1"/>
  <c r="P62" i="1"/>
  <c r="R62" i="1" s="1"/>
  <c r="P35" i="1"/>
  <c r="R35" i="1" s="1"/>
  <c r="P58" i="1"/>
  <c r="R58" i="1" s="1"/>
  <c r="P60" i="1"/>
  <c r="R60" i="1" s="1"/>
  <c r="P59" i="1"/>
  <c r="R59" i="1" s="1"/>
  <c r="O57" i="1"/>
  <c r="P57" i="1" s="1"/>
  <c r="R57" i="1" s="1"/>
  <c r="R53" i="1"/>
  <c r="P45" i="1"/>
  <c r="R45" i="1" s="1"/>
  <c r="P56" i="1"/>
  <c r="R56" i="1" s="1"/>
  <c r="R48" i="1"/>
  <c r="R49" i="1"/>
  <c r="P50" i="1"/>
  <c r="R50" i="1" s="1"/>
  <c r="R32" i="1"/>
  <c r="O37" i="1"/>
  <c r="P37" i="1" s="1"/>
  <c r="R37" i="1" s="1"/>
  <c r="P47" i="1"/>
  <c r="R47" i="1" s="1"/>
  <c r="R30" i="1"/>
  <c r="R29" i="1"/>
  <c r="P44" i="1"/>
  <c r="R44" i="1" s="1"/>
  <c r="P38" i="1"/>
  <c r="R38" i="1" s="1"/>
  <c r="R26" i="1"/>
  <c r="R27" i="1"/>
  <c r="R25" i="1"/>
  <c r="R28" i="1"/>
  <c r="O22" i="1"/>
  <c r="P22" i="1" s="1"/>
  <c r="R22" i="1" s="1"/>
  <c r="P20" i="1"/>
  <c r="R20" i="1" s="1"/>
  <c r="P6" i="1"/>
  <c r="R6" i="1" s="1"/>
  <c r="P34" i="1"/>
  <c r="R34" i="1" s="1"/>
  <c r="P33" i="1"/>
  <c r="R33" i="1" s="1"/>
  <c r="P31" i="1"/>
  <c r="R31" i="1" s="1"/>
  <c r="O24" i="1"/>
  <c r="P24" i="1" s="1"/>
  <c r="R24" i="1" s="1"/>
  <c r="P23" i="1"/>
  <c r="R23" i="1" s="1"/>
  <c r="P3" i="1"/>
  <c r="R3" i="1" s="1"/>
  <c r="R4" i="1"/>
  <c r="P5" i="1"/>
  <c r="R5" i="1" s="1"/>
  <c r="P7" i="1"/>
  <c r="R7" i="1" s="1"/>
  <c r="P8" i="1"/>
  <c r="R8" i="1" s="1"/>
  <c r="O9" i="1"/>
  <c r="P9" i="1" s="1"/>
  <c r="R9" i="1" s="1"/>
  <c r="O10" i="1"/>
  <c r="P10" i="1" s="1"/>
  <c r="R10" i="1" s="1"/>
  <c r="P11" i="1"/>
  <c r="R11" i="1" s="1"/>
  <c r="P12" i="1"/>
  <c r="R12" i="1" s="1"/>
  <c r="P13" i="1"/>
  <c r="R13" i="1" s="1"/>
  <c r="P14" i="1"/>
  <c r="R14" i="1" s="1"/>
  <c r="R15" i="1"/>
  <c r="P16" i="1"/>
  <c r="R16" i="1" s="1"/>
  <c r="P17" i="1"/>
  <c r="R17" i="1" s="1"/>
  <c r="P18" i="1"/>
  <c r="R18" i="1" s="1"/>
  <c r="P19" i="1"/>
  <c r="R19" i="1" s="1"/>
  <c r="P21" i="1"/>
  <c r="R21" i="1" s="1"/>
  <c r="P43" i="1"/>
  <c r="R43" i="1" s="1"/>
  <c r="P41" i="1"/>
  <c r="R41" i="1" s="1"/>
  <c r="P40" i="1"/>
  <c r="R40" i="1" s="1"/>
  <c r="P39" i="1"/>
  <c r="R39" i="1" s="1"/>
  <c r="P36" i="1"/>
  <c r="R36" i="1" s="1"/>
</calcChain>
</file>

<file path=xl/sharedStrings.xml><?xml version="1.0" encoding="utf-8"?>
<sst xmlns="http://schemas.openxmlformats.org/spreadsheetml/2006/main" count="1749" uniqueCount="452">
  <si>
    <t>PROVEEDOR</t>
  </si>
  <si>
    <t>Roda Expess sac</t>
  </si>
  <si>
    <t>Piura</t>
  </si>
  <si>
    <t>JVC Transport &amp; Services sac</t>
  </si>
  <si>
    <t>Lima</t>
  </si>
  <si>
    <t>Lurin</t>
  </si>
  <si>
    <t>IGV</t>
  </si>
  <si>
    <t>Chiclayo</t>
  </si>
  <si>
    <t>Transportes Ccorimayo sac</t>
  </si>
  <si>
    <t>Tacna</t>
  </si>
  <si>
    <t>Trujillo-Chiclayo</t>
  </si>
  <si>
    <t>Arequipa</t>
  </si>
  <si>
    <t>Trujillo</t>
  </si>
  <si>
    <t>Inicio</t>
  </si>
  <si>
    <t>Destino</t>
  </si>
  <si>
    <t>Inversiones K &amp; T</t>
  </si>
  <si>
    <t>Huaman Quispe Elvis</t>
  </si>
  <si>
    <t>Jauja-Huancayo</t>
  </si>
  <si>
    <t>Contacto</t>
  </si>
  <si>
    <t>Carlos Davila</t>
  </si>
  <si>
    <t>Plataforma</t>
  </si>
  <si>
    <t>Inversiones Kaylani sac</t>
  </si>
  <si>
    <t>Sullana</t>
  </si>
  <si>
    <t>Factura</t>
  </si>
  <si>
    <t>E001-370</t>
  </si>
  <si>
    <t>E001-44</t>
  </si>
  <si>
    <t>E001-9276</t>
  </si>
  <si>
    <t>E001-386</t>
  </si>
  <si>
    <t>E001-66</t>
  </si>
  <si>
    <t>E001-209</t>
  </si>
  <si>
    <t>E001-398</t>
  </si>
  <si>
    <t>E001-400</t>
  </si>
  <si>
    <t>E001-2067</t>
  </si>
  <si>
    <t>E001-285</t>
  </si>
  <si>
    <t>E001-402</t>
  </si>
  <si>
    <t>E001-399</t>
  </si>
  <si>
    <t>E001-373</t>
  </si>
  <si>
    <t>E001-63</t>
  </si>
  <si>
    <t>E001-59</t>
  </si>
  <si>
    <t>E001-2050</t>
  </si>
  <si>
    <t>E001-356</t>
  </si>
  <si>
    <t>E001-42</t>
  </si>
  <si>
    <t>E001-391</t>
  </si>
  <si>
    <t>Etiquetas de fila</t>
  </si>
  <si>
    <t>Total general</t>
  </si>
  <si>
    <t>Etiquetas de columna</t>
  </si>
  <si>
    <t>Suma de Flete Total</t>
  </si>
  <si>
    <t>Placa</t>
  </si>
  <si>
    <t>AZP946</t>
  </si>
  <si>
    <t>D7S943</t>
  </si>
  <si>
    <t>BEH948</t>
  </si>
  <si>
    <t>AWE2050</t>
  </si>
  <si>
    <t>ASD946</t>
  </si>
  <si>
    <t>BAD920</t>
  </si>
  <si>
    <t>BZQ718</t>
  </si>
  <si>
    <t>BJI829</t>
  </si>
  <si>
    <t>BKK847</t>
  </si>
  <si>
    <t>Cliente</t>
  </si>
  <si>
    <t>Fecha de Servicio</t>
  </si>
  <si>
    <t>Sonepar</t>
  </si>
  <si>
    <t>15 tn</t>
  </si>
  <si>
    <t>Tn</t>
  </si>
  <si>
    <t>50 m3</t>
  </si>
  <si>
    <t>50m3</t>
  </si>
  <si>
    <t>7tn</t>
  </si>
  <si>
    <t>8tn</t>
  </si>
  <si>
    <t>85m3</t>
  </si>
  <si>
    <t>m3</t>
  </si>
  <si>
    <t>Pacasmayo</t>
  </si>
  <si>
    <t>Puno</t>
  </si>
  <si>
    <t>Vainsa</t>
  </si>
  <si>
    <t>Trujillo-Piura</t>
  </si>
  <si>
    <t>5 tn</t>
  </si>
  <si>
    <t>Winter</t>
  </si>
  <si>
    <t>6 tn</t>
  </si>
  <si>
    <t>8 tn</t>
  </si>
  <si>
    <t>7 tn</t>
  </si>
  <si>
    <t>11 tn</t>
  </si>
  <si>
    <t>BZK725</t>
  </si>
  <si>
    <t>AXT917</t>
  </si>
  <si>
    <t>Cusco</t>
  </si>
  <si>
    <t>E001-78</t>
  </si>
  <si>
    <t xml:space="preserve">Joel </t>
  </si>
  <si>
    <t>Corporacion dyj Rusal sac</t>
  </si>
  <si>
    <t>Inversiones generales Rusilsan</t>
  </si>
  <si>
    <t>E001-616</t>
  </si>
  <si>
    <t>70m3</t>
  </si>
  <si>
    <t>10 tn</t>
  </si>
  <si>
    <t>T9K915</t>
  </si>
  <si>
    <t>85M3</t>
  </si>
  <si>
    <t>(en blanco)</t>
  </si>
  <si>
    <t>5 horas// 30 horas a la semana</t>
  </si>
  <si>
    <t>Cuenta de m3</t>
  </si>
  <si>
    <t>E001-2074</t>
  </si>
  <si>
    <t>E001-138</t>
  </si>
  <si>
    <t>E001-291</t>
  </si>
  <si>
    <t>E001-522</t>
  </si>
  <si>
    <t>E001-79</t>
  </si>
  <si>
    <t>E001-622</t>
  </si>
  <si>
    <t>E001-623</t>
  </si>
  <si>
    <t>Huanuco</t>
  </si>
  <si>
    <t>Chimbote</t>
  </si>
  <si>
    <t>Abancay Cusco</t>
  </si>
  <si>
    <t>pacasmayo</t>
  </si>
  <si>
    <t>Transporte Viyaexpres sac</t>
  </si>
  <si>
    <t>Transporte Aimar cargo sac</t>
  </si>
  <si>
    <t>Heavy Truck Corporation sac</t>
  </si>
  <si>
    <t>Inversiones generales Ruvilsan</t>
  </si>
  <si>
    <t xml:space="preserve">Corporacion DYJ Rusal </t>
  </si>
  <si>
    <t>BI Flete</t>
  </si>
  <si>
    <t>Flete Total Bruto</t>
  </si>
  <si>
    <t>Total Pagar Proveedor</t>
  </si>
  <si>
    <t>Saldo restante</t>
  </si>
  <si>
    <t>Estado de Pago</t>
  </si>
  <si>
    <t>Estado de Detraccion</t>
  </si>
  <si>
    <t># Constancia</t>
  </si>
  <si>
    <t>Pagado</t>
  </si>
  <si>
    <t>Pendiente</t>
  </si>
  <si>
    <t>AVE825</t>
  </si>
  <si>
    <t>TFG886</t>
  </si>
  <si>
    <t>TBV918</t>
  </si>
  <si>
    <t>BZK926</t>
  </si>
  <si>
    <r>
      <t xml:space="preserve">POR EL SERVICIO DE TRANSPORTE DE CARGA </t>
    </r>
    <r>
      <rPr>
        <b/>
        <sz val="11"/>
        <rFont val="Calibri"/>
        <family val="2"/>
        <scheme val="minor"/>
      </rPr>
      <t>NACIONAL</t>
    </r>
    <r>
      <rPr>
        <sz val="11"/>
        <color theme="1"/>
        <rFont val="Calibri"/>
        <family val="2"/>
        <scheme val="minor"/>
      </rPr>
      <t xml:space="preserve"> DE LIMA A PUNO CON PLACA </t>
    </r>
    <r>
      <rPr>
        <b/>
        <sz val="11"/>
        <color rgb="FFFF0000"/>
        <rFont val="Calibri"/>
        <family val="2"/>
        <scheme val="minor"/>
      </rPr>
      <t>BBB000</t>
    </r>
    <r>
      <rPr>
        <sz val="11"/>
        <color theme="1"/>
        <rFont val="Calibri"/>
        <family val="2"/>
        <scheme val="minor"/>
      </rPr>
      <t xml:space="preserve"> CON FECHA DE TRASLADO </t>
    </r>
    <r>
      <rPr>
        <b/>
        <sz val="11"/>
        <color rgb="FFED0000"/>
        <rFont val="Calibri"/>
        <family val="2"/>
        <scheme val="minor"/>
      </rPr>
      <t>11/11/11</t>
    </r>
    <r>
      <rPr>
        <sz val="11"/>
        <color theme="1"/>
        <rFont val="Calibri"/>
        <family val="2"/>
        <scheme val="minor"/>
      </rPr>
      <t xml:space="preserve"> SEGÚN M3/TN   SEGÚN GRTE (TRANSJER) </t>
    </r>
    <r>
      <rPr>
        <b/>
        <sz val="11"/>
        <color rgb="FFFF0000"/>
        <rFont val="Calibri"/>
        <family val="2"/>
        <scheme val="minor"/>
      </rPr>
      <t>VT01-111</t>
    </r>
    <r>
      <rPr>
        <sz val="11"/>
        <color theme="1"/>
        <rFont val="Calibri"/>
        <family val="2"/>
        <scheme val="minor"/>
      </rPr>
      <t xml:space="preserve">- CLIENTE: </t>
    </r>
    <r>
      <rPr>
        <b/>
        <sz val="11"/>
        <color rgb="FFFF0000"/>
        <rFont val="Calibri"/>
        <family val="2"/>
        <scheme val="minor"/>
      </rPr>
      <t>SONEPAR</t>
    </r>
  </si>
  <si>
    <r>
      <t xml:space="preserve">POR EL SERVICIO DE TRANSPORTE DE CARGA </t>
    </r>
    <r>
      <rPr>
        <b/>
        <sz val="11"/>
        <rFont val="Calibri"/>
        <family val="2"/>
        <scheme val="minor"/>
      </rPr>
      <t>LOCAL</t>
    </r>
    <r>
      <rPr>
        <sz val="11"/>
        <color theme="1"/>
        <rFont val="Calibri"/>
        <family val="2"/>
        <scheme val="minor"/>
      </rPr>
      <t xml:space="preserve"> DE V.E.S. A LURIN CON PLACA </t>
    </r>
    <r>
      <rPr>
        <b/>
        <sz val="11"/>
        <color rgb="FFED0000"/>
        <rFont val="Calibri"/>
        <family val="2"/>
        <scheme val="minor"/>
      </rPr>
      <t>BBB000</t>
    </r>
    <r>
      <rPr>
        <sz val="11"/>
        <color theme="1"/>
        <rFont val="Calibri"/>
        <family val="2"/>
        <scheme val="minor"/>
      </rPr>
      <t xml:space="preserve"> CON FECCHA </t>
    </r>
    <r>
      <rPr>
        <b/>
        <sz val="11"/>
        <color rgb="FFFF0000"/>
        <rFont val="Calibri"/>
        <family val="2"/>
        <scheme val="minor"/>
      </rPr>
      <t>11/11/11</t>
    </r>
    <r>
      <rPr>
        <sz val="11"/>
        <color theme="1"/>
        <rFont val="Calibri"/>
        <family val="2"/>
        <scheme val="minor"/>
      </rPr>
      <t xml:space="preserve">  SEGÚN </t>
    </r>
    <r>
      <rPr>
        <b/>
        <sz val="11"/>
        <color rgb="FFED0000"/>
        <rFont val="Calibri"/>
        <family val="2"/>
        <scheme val="minor"/>
      </rPr>
      <t>M3/TN</t>
    </r>
    <r>
      <rPr>
        <sz val="11"/>
        <color theme="1"/>
        <rFont val="Calibri"/>
        <family val="2"/>
        <scheme val="minor"/>
      </rPr>
      <t xml:space="preserve"> SEGÚN GRTE (TRANSJER) </t>
    </r>
    <r>
      <rPr>
        <b/>
        <sz val="11"/>
        <color rgb="FFFF0000"/>
        <rFont val="Calibri"/>
        <family val="2"/>
        <scheme val="minor"/>
      </rPr>
      <t>VT01-111</t>
    </r>
    <r>
      <rPr>
        <sz val="11"/>
        <color theme="1"/>
        <rFont val="Calibri"/>
        <family val="2"/>
        <scheme val="minor"/>
      </rPr>
      <t xml:space="preserve"> - CLIENTE: </t>
    </r>
    <r>
      <rPr>
        <b/>
        <sz val="11"/>
        <color rgb="FFFF0000"/>
        <rFont val="Calibri"/>
        <family val="2"/>
        <scheme val="minor"/>
      </rPr>
      <t>SONEPAR</t>
    </r>
  </si>
  <si>
    <t>Estimados proveedor, envio modelo de como proceder con la facturacion</t>
  </si>
  <si>
    <t>Trujillo/Chiclayo</t>
  </si>
  <si>
    <t>Cerro de pasco/huanuco/Tingo</t>
  </si>
  <si>
    <t>Walmay Chimbote</t>
  </si>
  <si>
    <t xml:space="preserve">Juliaca </t>
  </si>
  <si>
    <t>E001-618</t>
  </si>
  <si>
    <t>BZK726</t>
  </si>
  <si>
    <t>Adelantos</t>
  </si>
  <si>
    <t>Anulado</t>
  </si>
  <si>
    <t>NC E001-29</t>
  </si>
  <si>
    <t>rey de las curvas</t>
  </si>
  <si>
    <t>CBV888</t>
  </si>
  <si>
    <t>Tumbes</t>
  </si>
  <si>
    <t>pendiente</t>
  </si>
  <si>
    <t>Marne Inversiones SAC</t>
  </si>
  <si>
    <t>F001-412</t>
  </si>
  <si>
    <t>N°</t>
  </si>
  <si>
    <t>CLIENTE</t>
  </si>
  <si>
    <t>ORIGEN</t>
  </si>
  <si>
    <t>DESTINO</t>
  </si>
  <si>
    <t>PLACA</t>
  </si>
  <si>
    <t>FECHA ENTREGA</t>
  </si>
  <si>
    <t>ESTIBA</t>
  </si>
  <si>
    <t>CNCH</t>
  </si>
  <si>
    <t>VAINSA</t>
  </si>
  <si>
    <t>LIMA</t>
  </si>
  <si>
    <t>Abancay</t>
  </si>
  <si>
    <t>Huacho</t>
  </si>
  <si>
    <t>Cerro de Pasco</t>
  </si>
  <si>
    <t>Juliaca</t>
  </si>
  <si>
    <t>TN</t>
  </si>
  <si>
    <t>PAGO A PROVEEDOR CON FACTURA 2026</t>
  </si>
  <si>
    <t>Fecha Fact</t>
  </si>
  <si>
    <t>INVITADOS</t>
  </si>
  <si>
    <t>alex</t>
  </si>
  <si>
    <t>kelly</t>
  </si>
  <si>
    <t>mama</t>
  </si>
  <si>
    <t>marivel</t>
  </si>
  <si>
    <t>rodrigo</t>
  </si>
  <si>
    <t>cielo</t>
  </si>
  <si>
    <t>ruth</t>
  </si>
  <si>
    <t>moises</t>
  </si>
  <si>
    <t>doris</t>
  </si>
  <si>
    <t>belen</t>
  </si>
  <si>
    <t>kevin</t>
  </si>
  <si>
    <t>Lau</t>
  </si>
  <si>
    <t>Renato</t>
  </si>
  <si>
    <t>Shirley</t>
  </si>
  <si>
    <t>Adrian</t>
  </si>
  <si>
    <t>Rosa</t>
  </si>
  <si>
    <t>Jeremy</t>
  </si>
  <si>
    <t>Melany</t>
  </si>
  <si>
    <t>Angelo</t>
  </si>
  <si>
    <t>Maria</t>
  </si>
  <si>
    <t>Fabiano</t>
  </si>
  <si>
    <t>Marjorie</t>
  </si>
  <si>
    <t>Vico</t>
  </si>
  <si>
    <t>Melissa</t>
  </si>
  <si>
    <t>E0001-52</t>
  </si>
  <si>
    <t>Huanuco/ Tingo</t>
  </si>
  <si>
    <t>Corporacion Ple SAC</t>
  </si>
  <si>
    <t>E001-321</t>
  </si>
  <si>
    <t>ASD892</t>
  </si>
  <si>
    <t>Huancayo</t>
  </si>
  <si>
    <t>35m3</t>
  </si>
  <si>
    <t>E001-404</t>
  </si>
  <si>
    <t>Huaraz</t>
  </si>
  <si>
    <t>E001-2076</t>
  </si>
  <si>
    <t>BBD739</t>
  </si>
  <si>
    <t>E001-405</t>
  </si>
  <si>
    <t>50M3</t>
  </si>
  <si>
    <t>6tn</t>
  </si>
  <si>
    <t>Huaman Quispe Wilder</t>
  </si>
  <si>
    <t>E001-223</t>
  </si>
  <si>
    <t>5tn</t>
  </si>
  <si>
    <t>80m3</t>
  </si>
  <si>
    <t>12tn</t>
  </si>
  <si>
    <t>Antonio Quispe Wilber</t>
  </si>
  <si>
    <t>E001-49</t>
  </si>
  <si>
    <t>varios</t>
  </si>
  <si>
    <t>Varios</t>
  </si>
  <si>
    <t>-</t>
  </si>
  <si>
    <t>E001-9318</t>
  </si>
  <si>
    <t>E001-324</t>
  </si>
  <si>
    <t>E001-325</t>
  </si>
  <si>
    <t>ARG901</t>
  </si>
  <si>
    <t>E001-406</t>
  </si>
  <si>
    <t>E001-624</t>
  </si>
  <si>
    <t>E001-83</t>
  </si>
  <si>
    <t>H2C888</t>
  </si>
  <si>
    <t>75M3</t>
  </si>
  <si>
    <t>9.5TN</t>
  </si>
  <si>
    <t>e001-410</t>
  </si>
  <si>
    <t>Cajamarca</t>
  </si>
  <si>
    <t>E001-627</t>
  </si>
  <si>
    <t>Jaen</t>
  </si>
  <si>
    <t>E001-409</t>
  </si>
  <si>
    <t>Andahuaylas/ Abancay</t>
  </si>
  <si>
    <t>E001-152</t>
  </si>
  <si>
    <t>BYQ837</t>
  </si>
  <si>
    <t>E001-149</t>
  </si>
  <si>
    <t>AYQ776</t>
  </si>
  <si>
    <t>E001-84</t>
  </si>
  <si>
    <t>80M3</t>
  </si>
  <si>
    <t>12TTN</t>
  </si>
  <si>
    <t>Suma de Flete Total Bruto</t>
  </si>
  <si>
    <t>Ene</t>
  </si>
  <si>
    <t>Feb</t>
  </si>
  <si>
    <t>Mar</t>
  </si>
  <si>
    <t>Abr</t>
  </si>
  <si>
    <t>May</t>
  </si>
  <si>
    <t>&lt;11/01/2026</t>
  </si>
  <si>
    <t>E001-85</t>
  </si>
  <si>
    <t>60M3</t>
  </si>
  <si>
    <t>9TTN</t>
  </si>
  <si>
    <t>E001-52</t>
  </si>
  <si>
    <t>E001-53</t>
  </si>
  <si>
    <t>Tarapoto/Moyobamba</t>
  </si>
  <si>
    <t>Barranca varios</t>
  </si>
  <si>
    <t>E001-415</t>
  </si>
  <si>
    <t>ASF847</t>
  </si>
  <si>
    <t>E001-163</t>
  </si>
  <si>
    <t>E001-60</t>
  </si>
  <si>
    <t>5TN</t>
  </si>
  <si>
    <t>E001-86</t>
  </si>
  <si>
    <t>10.5TN</t>
  </si>
  <si>
    <t>E001-424</t>
  </si>
  <si>
    <t>CLX914</t>
  </si>
  <si>
    <t>E001-87</t>
  </si>
  <si>
    <t>Moyobamba adional</t>
  </si>
  <si>
    <t>E001-426</t>
  </si>
  <si>
    <t>E001-164</t>
  </si>
  <si>
    <t>14.5TN</t>
  </si>
  <si>
    <t>E001-425</t>
  </si>
  <si>
    <t>9TN</t>
  </si>
  <si>
    <t>E001-422</t>
  </si>
  <si>
    <t>8.5TN</t>
  </si>
  <si>
    <t>Ica / Nazca</t>
  </si>
  <si>
    <t xml:space="preserve">Inversiones Hope </t>
  </si>
  <si>
    <t>Hope</t>
  </si>
  <si>
    <t>E001-205</t>
  </si>
  <si>
    <t>VARIOS</t>
  </si>
  <si>
    <t>BBR905</t>
  </si>
  <si>
    <t>Oechle</t>
  </si>
  <si>
    <t>E001-427</t>
  </si>
  <si>
    <t>7TN</t>
  </si>
  <si>
    <t>N/A</t>
  </si>
  <si>
    <t>E001-9444</t>
  </si>
  <si>
    <t>E001-170</t>
  </si>
  <si>
    <t>11TN</t>
  </si>
  <si>
    <t>E001-56</t>
  </si>
  <si>
    <t>E001-57</t>
  </si>
  <si>
    <t>10TN</t>
  </si>
  <si>
    <t>se pago dos veces 236 queda a cuenta para la proxima factura</t>
  </si>
  <si>
    <t>E001-51</t>
  </si>
  <si>
    <t>E001-80</t>
  </si>
  <si>
    <t>E001-58</t>
  </si>
  <si>
    <t>Madre de Dios</t>
  </si>
  <si>
    <t>Chiclayo/Trujillo</t>
  </si>
  <si>
    <t>Inversiones Christian &amp; Cytnhia</t>
  </si>
  <si>
    <t>Oscar Cabrera</t>
  </si>
  <si>
    <t>E001-221</t>
  </si>
  <si>
    <t>E001-224</t>
  </si>
  <si>
    <t>A4M831</t>
  </si>
  <si>
    <t>OYS- DINET</t>
  </si>
  <si>
    <t>Empresa de Transporte The Courier sac</t>
  </si>
  <si>
    <t>E001-787</t>
  </si>
  <si>
    <t>E001-89</t>
  </si>
  <si>
    <t>Ica/Nazca</t>
  </si>
  <si>
    <t>E001-172</t>
  </si>
  <si>
    <t>E001-432</t>
  </si>
  <si>
    <t>CLC885</t>
  </si>
  <si>
    <t>E001-657</t>
  </si>
  <si>
    <t>E001-216</t>
  </si>
  <si>
    <t>E001-220</t>
  </si>
  <si>
    <t># Ope</t>
  </si>
  <si>
    <t>E001-2087</t>
  </si>
  <si>
    <t>E001-2088</t>
  </si>
  <si>
    <t>E001-2089</t>
  </si>
  <si>
    <t>E001-2090</t>
  </si>
  <si>
    <t>BDB739</t>
  </si>
  <si>
    <t>E001-639</t>
  </si>
  <si>
    <t>69M3</t>
  </si>
  <si>
    <t>TRUJILLO</t>
  </si>
  <si>
    <t>E001-91</t>
  </si>
  <si>
    <t>Elvis Carhuaricra</t>
  </si>
  <si>
    <t>Group Logistic Transport A&amp;D SAC</t>
  </si>
  <si>
    <t>E001-108</t>
  </si>
  <si>
    <t>W3I789</t>
  </si>
  <si>
    <t>E001-228</t>
  </si>
  <si>
    <t>E001-227</t>
  </si>
  <si>
    <t>E001-2091</t>
  </si>
  <si>
    <t>E001-2093</t>
  </si>
  <si>
    <t>E001-2094</t>
  </si>
  <si>
    <t>E001-2095</t>
  </si>
  <si>
    <t>ICA-NAZCA</t>
  </si>
  <si>
    <t>Hualmay</t>
  </si>
  <si>
    <t>E001-119</t>
  </si>
  <si>
    <t>E001-191</t>
  </si>
  <si>
    <t>VES</t>
  </si>
  <si>
    <t>E001-93</t>
  </si>
  <si>
    <t>Cabrera</t>
  </si>
  <si>
    <t>E001-115</t>
  </si>
  <si>
    <t>E001-251</t>
  </si>
  <si>
    <t>E001-252</t>
  </si>
  <si>
    <t>E001-248</t>
  </si>
  <si>
    <t>E001-249</t>
  </si>
  <si>
    <t>E001-250</t>
  </si>
  <si>
    <t>Rey de las curvas</t>
  </si>
  <si>
    <t>Altamarino</t>
  </si>
  <si>
    <t>Altavella sac</t>
  </si>
  <si>
    <t>E001-763</t>
  </si>
  <si>
    <t>Roxana</t>
  </si>
  <si>
    <t>Rojo Express</t>
  </si>
  <si>
    <t>FF01-1805</t>
  </si>
  <si>
    <t>FF01-1809</t>
  </si>
  <si>
    <t>Rojas Ureta Gregorio Berardo</t>
  </si>
  <si>
    <t>F9I896</t>
  </si>
  <si>
    <t>REYES</t>
  </si>
  <si>
    <t>Inversiones Generales Ruvilsan</t>
  </si>
  <si>
    <t>E001-673</t>
  </si>
  <si>
    <t>E001-669</t>
  </si>
  <si>
    <t>E001-671</t>
  </si>
  <si>
    <t>CKZ833</t>
  </si>
  <si>
    <t>Froilana</t>
  </si>
  <si>
    <t>E001-767</t>
  </si>
  <si>
    <t>E001-768</t>
  </si>
  <si>
    <t>E001-769</t>
  </si>
  <si>
    <t>E001-43</t>
  </si>
  <si>
    <t>R &amp; K LOGISTIC SAC</t>
  </si>
  <si>
    <t>E001-1257</t>
  </si>
  <si>
    <t>Taboada</t>
  </si>
  <si>
    <t>E001-1273</t>
  </si>
  <si>
    <t>E001-258</t>
  </si>
  <si>
    <t>E001-444</t>
  </si>
  <si>
    <t>E001-916</t>
  </si>
  <si>
    <t>E001-915</t>
  </si>
  <si>
    <t>E001-1148</t>
  </si>
  <si>
    <t>LOGISTICA ROSAMA SAC</t>
  </si>
  <si>
    <t>CORPORACION MIGAND</t>
  </si>
  <si>
    <t>Mamani</t>
  </si>
  <si>
    <t>C1A932</t>
  </si>
  <si>
    <t>CMF709</t>
  </si>
  <si>
    <t>ABR946</t>
  </si>
  <si>
    <t>Ica</t>
  </si>
  <si>
    <t>E001-229</t>
  </si>
  <si>
    <t>E001-355</t>
  </si>
  <si>
    <t>CLS892</t>
  </si>
  <si>
    <t>TRANSP CUSAMI CARGO EXPRESS</t>
  </si>
  <si>
    <t>E001-82</t>
  </si>
  <si>
    <t>E001-772</t>
  </si>
  <si>
    <t xml:space="preserve"> </t>
  </si>
  <si>
    <t>INVERSIONES K &amp; T</t>
  </si>
  <si>
    <t>E001-267</t>
  </si>
  <si>
    <t>Hualmay-Huaraz</t>
  </si>
  <si>
    <t>TRANSPORTES AIMAR CARGO S.A.C.</t>
  </si>
  <si>
    <t>RODA EXPRESS S.A.C.</t>
  </si>
  <si>
    <t>ANTONIO QUISPE WILBER</t>
  </si>
  <si>
    <t>E001-70</t>
  </si>
  <si>
    <t>E001-71</t>
  </si>
  <si>
    <t>E001-72</t>
  </si>
  <si>
    <t>E001-73</t>
  </si>
  <si>
    <t>E001-74</t>
  </si>
  <si>
    <t>E001-75</t>
  </si>
  <si>
    <t>60m3</t>
  </si>
  <si>
    <t>Barranca</t>
  </si>
  <si>
    <t>CBV889</t>
  </si>
  <si>
    <t>CBV890</t>
  </si>
  <si>
    <t>60m1</t>
  </si>
  <si>
    <t>60m0</t>
  </si>
  <si>
    <t>60m2</t>
  </si>
  <si>
    <t xml:space="preserve">INVERSIONES CUSAMI </t>
  </si>
  <si>
    <t>BCJ787</t>
  </si>
  <si>
    <t>smp</t>
  </si>
  <si>
    <t>E001-776</t>
  </si>
  <si>
    <t>D2H847</t>
  </si>
  <si>
    <t>E001-449</t>
  </si>
  <si>
    <t>CNF846</t>
  </si>
  <si>
    <t>15TN</t>
  </si>
  <si>
    <t>E001-691</t>
  </si>
  <si>
    <t>tfg886</t>
  </si>
  <si>
    <t>12 tn</t>
  </si>
  <si>
    <t>E001-100</t>
  </si>
  <si>
    <t>10 TN</t>
  </si>
  <si>
    <t>E001-255</t>
  </si>
  <si>
    <t>BNH934</t>
  </si>
  <si>
    <t>E001-447</t>
  </si>
  <si>
    <t>PASCO</t>
  </si>
  <si>
    <t>E001-361</t>
  </si>
  <si>
    <t>12TN</t>
  </si>
  <si>
    <t>CHIMBOTE</t>
  </si>
  <si>
    <t>CABRERA</t>
  </si>
  <si>
    <t>CORPORACION DYJ RUSAL SAC</t>
  </si>
  <si>
    <t>ICA</t>
  </si>
  <si>
    <t>E001-777</t>
  </si>
  <si>
    <t>W50794</t>
  </si>
  <si>
    <t>Cerro/Tpp/Moyob</t>
  </si>
  <si>
    <t>Huanuco/ Tingo/ Pucall</t>
  </si>
  <si>
    <t>C. pasco/huanuco/Tingo</t>
  </si>
  <si>
    <t>E001-778</t>
  </si>
  <si>
    <t>Surco</t>
  </si>
  <si>
    <t>TRANSPORTE LOGISTICA GUERRERO S.A.C.</t>
  </si>
  <si>
    <t>Guerrero</t>
  </si>
  <si>
    <t>E001-1247</t>
  </si>
  <si>
    <t>AJA 864</t>
  </si>
  <si>
    <t>15 TN</t>
  </si>
  <si>
    <t>E001-101</t>
  </si>
  <si>
    <t>Andres Mamani</t>
  </si>
  <si>
    <t>Migand</t>
  </si>
  <si>
    <t>E001-946</t>
  </si>
  <si>
    <t>BUM902</t>
  </si>
  <si>
    <t>LOCAL</t>
  </si>
  <si>
    <t xml:space="preserve">VARGAS &amp; ASC TRANSPORT </t>
  </si>
  <si>
    <t>E001-717</t>
  </si>
  <si>
    <t>BZO700</t>
  </si>
  <si>
    <t>E001-944</t>
  </si>
  <si>
    <t>Cabrera Torres Oscar</t>
  </si>
  <si>
    <t>E001-1</t>
  </si>
  <si>
    <t>BNH934/A4M831</t>
  </si>
  <si>
    <t>E001-104</t>
  </si>
  <si>
    <t>E001-454</t>
  </si>
  <si>
    <t>BMD890</t>
  </si>
  <si>
    <t>WINTER</t>
  </si>
  <si>
    <t>JAEN</t>
  </si>
  <si>
    <t>nc27</t>
  </si>
  <si>
    <t>E001-938</t>
  </si>
  <si>
    <t>E001-1248</t>
  </si>
  <si>
    <t>E001-257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</si>
</sst>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0"/>
      <name val="Calibri"/>
      <family val="2"/>
      <scheme val="minor"/>
    </font>
    <font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FFFF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ED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u/>
      <sz val="10"/>
      <color theme="10"/>
      <name val="Calibri"/>
      <family val="2"/>
      <scheme val="minor"/>
    </font>
    <font>
      <sz val="10"/>
      <color rgb="FF202E44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ptos"/>
      <family val="2"/>
    </font>
    <font>
      <sz val="8"/>
      <color rgb="FF202E44"/>
      <name val="Arial"/>
      <family val="2"/>
    </font>
    <font>
      <sz val="8"/>
      <color rgb="FF333333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E2E707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CCFF99"/>
        <bgColor rgb="FF0000FF"/>
      </patternFill>
    </fill>
    <fill>
      <patternFill patternType="solid">
        <fgColor rgb="FFFF0000"/>
        <bgColor indexed="64"/>
      </patternFill>
    </fill>
    <fill>
      <patternFill patternType="solid">
        <fgColor rgb="FF00204F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11ED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886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0" borderId="0" xfId="0" applyFont="1" applyAlignment="1">
      <alignment horizontal="center"/>
    </xf>
    <xf numFmtId="0" fontId="6" fillId="5" borderId="9" xfId="0" applyFont="1" applyFill="1" applyBorder="1" applyAlignment="1">
      <alignment vertical="center"/>
    </xf>
    <xf numFmtId="0" fontId="6" fillId="5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0" fillId="0" borderId="9" xfId="0" applyBorder="1"/>
    <xf numFmtId="16" fontId="0" fillId="0" borderId="9" xfId="0" applyNumberFormat="1" applyBorder="1"/>
    <xf numFmtId="0" fontId="10" fillId="14" borderId="0" xfId="0" applyFont="1" applyFill="1"/>
    <xf numFmtId="0" fontId="0" fillId="15" borderId="0" xfId="0" applyFill="1"/>
    <xf numFmtId="0" fontId="0" fillId="0" borderId="0" xfId="0" applyAlignment="1">
      <alignment horizontal="left" indent="1"/>
    </xf>
    <xf numFmtId="0" fontId="0" fillId="3" borderId="0" xfId="0" applyFill="1" applyAlignment="1">
      <alignment horizontal="left"/>
    </xf>
    <xf numFmtId="44" fontId="0" fillId="3" borderId="0" xfId="0" applyNumberFormat="1" applyFill="1"/>
    <xf numFmtId="44" fontId="0" fillId="16" borderId="0" xfId="0" applyNumberFormat="1" applyFill="1"/>
    <xf numFmtId="44" fontId="7" fillId="6" borderId="0" xfId="1" applyFont="1" applyFill="1" applyBorder="1" applyAlignment="1">
      <alignment horizontal="center" vertical="center" wrapText="1"/>
    </xf>
    <xf numFmtId="44" fontId="6" fillId="11" borderId="0" xfId="1" applyFont="1" applyFill="1" applyBorder="1" applyAlignment="1">
      <alignment horizontal="center" vertical="center" wrapText="1"/>
    </xf>
    <xf numFmtId="0" fontId="2" fillId="0" borderId="0" xfId="0" applyFont="1"/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44" fontId="2" fillId="0" borderId="0" xfId="1" applyFont="1" applyBorder="1"/>
    <xf numFmtId="44" fontId="2" fillId="0" borderId="0" xfId="1" applyFont="1" applyFill="1" applyBorder="1"/>
    <xf numFmtId="0" fontId="2" fillId="22" borderId="0" xfId="0" applyFont="1" applyFill="1"/>
    <xf numFmtId="44" fontId="2" fillId="22" borderId="0" xfId="1" applyFont="1" applyFill="1" applyBorder="1"/>
    <xf numFmtId="0" fontId="6" fillId="5" borderId="0" xfId="0" applyFont="1" applyFill="1" applyAlignment="1">
      <alignment vertical="center"/>
    </xf>
    <xf numFmtId="0" fontId="9" fillId="19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7" fillId="6" borderId="0" xfId="0" applyFont="1" applyFill="1" applyAlignment="1">
      <alignment horizontal="center" vertical="center" wrapText="1"/>
    </xf>
    <xf numFmtId="9" fontId="7" fillId="6" borderId="0" xfId="0" applyNumberFormat="1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44" fontId="2" fillId="4" borderId="0" xfId="1" applyFont="1" applyFill="1" applyBorder="1"/>
    <xf numFmtId="44" fontId="2" fillId="9" borderId="0" xfId="1" applyFont="1" applyFill="1" applyBorder="1" applyAlignment="1">
      <alignment horizontal="right"/>
    </xf>
    <xf numFmtId="44" fontId="2" fillId="0" borderId="0" xfId="1" applyFont="1" applyFill="1" applyBorder="1" applyAlignment="1">
      <alignment horizontal="right"/>
    </xf>
    <xf numFmtId="0" fontId="2" fillId="3" borderId="0" xfId="0" applyFont="1" applyFill="1"/>
    <xf numFmtId="0" fontId="7" fillId="20" borderId="0" xfId="0" applyFont="1" applyFill="1"/>
    <xf numFmtId="0" fontId="6" fillId="3" borderId="0" xfId="0" applyFont="1" applyFill="1"/>
    <xf numFmtId="0" fontId="16" fillId="0" borderId="0" xfId="0" applyFont="1"/>
    <xf numFmtId="44" fontId="6" fillId="0" borderId="0" xfId="1" applyFont="1" applyFill="1" applyBorder="1"/>
    <xf numFmtId="44" fontId="11" fillId="0" borderId="0" xfId="1" applyFont="1" applyFill="1" applyBorder="1"/>
    <xf numFmtId="44" fontId="2" fillId="0" borderId="0" xfId="1" applyFont="1" applyBorder="1" applyAlignment="1">
      <alignment horizontal="right"/>
    </xf>
    <xf numFmtId="0" fontId="17" fillId="0" borderId="0" xfId="2" applyFont="1" applyBorder="1"/>
    <xf numFmtId="0" fontId="18" fillId="0" borderId="0" xfId="0" applyFont="1"/>
    <xf numFmtId="0" fontId="7" fillId="17" borderId="0" xfId="0" applyFont="1" applyFill="1"/>
    <xf numFmtId="0" fontId="7" fillId="12" borderId="0" xfId="0" applyFont="1" applyFill="1"/>
    <xf numFmtId="0" fontId="17" fillId="3" borderId="0" xfId="2" applyFont="1" applyFill="1" applyBorder="1"/>
    <xf numFmtId="0" fontId="20" fillId="0" borderId="0" xfId="0" applyFont="1" applyAlignment="1">
      <alignment vertical="center"/>
    </xf>
    <xf numFmtId="16" fontId="2" fillId="0" borderId="0" xfId="0" applyNumberFormat="1" applyFont="1"/>
    <xf numFmtId="0" fontId="22" fillId="0" borderId="0" xfId="0" applyFont="1"/>
    <xf numFmtId="0" fontId="12" fillId="0" borderId="0" xfId="2" applyBorder="1"/>
    <xf numFmtId="44" fontId="2" fillId="3" borderId="0" xfId="1" applyFont="1" applyFill="1" applyBorder="1" applyAlignment="1">
      <alignment horizontal="right"/>
    </xf>
    <xf numFmtId="44" fontId="2" fillId="21" borderId="0" xfId="1" applyFont="1" applyFill="1" applyBorder="1" applyAlignment="1">
      <alignment horizontal="right"/>
    </xf>
    <xf numFmtId="0" fontId="21" fillId="0" borderId="0" xfId="0" applyFont="1"/>
    <xf numFmtId="0" fontId="14" fillId="10" borderId="0" xfId="0" applyFont="1" applyFill="1" applyAlignment="1">
      <alignment horizontal="center" vertical="center"/>
    </xf>
    <xf numFmtId="44" fontId="14" fillId="10" borderId="0" xfId="1" applyFont="1" applyFill="1" applyBorder="1" applyAlignment="1">
      <alignment horizontal="center" vertical="center"/>
    </xf>
    <xf numFmtId="0" fontId="19" fillId="18" borderId="0" xfId="0" applyFont="1" applyFill="1" applyAlignment="1">
      <alignment horizont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wrapText="1"/>
    </xf>
  </cellXfs>
  <cellStyles count="4">
    <cellStyle name="Hipervínculo" xfId="2" builtinId="8"/>
    <cellStyle name="Moneda" xfId="1" builtinId="4"/>
    <cellStyle name="Moneda 2" xfId="3" xr:uid="{F27EEF13-2FE2-4656-82FE-9FC92103E18A}"/>
    <cellStyle name="Normal" xfId="0" builtinId="0"/>
  </cellStyles>
  <dxfs count="8">
    <dxf>
      <fill>
        <patternFill patternType="solid">
          <bgColor theme="4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FFFF"/>
      <color rgb="FF11ED36"/>
      <color rgb="FFFF9933"/>
      <color rgb="FFFF6600"/>
      <color rgb="FFFFFF00"/>
      <color rgb="FFE2E707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ly murga" refreshedDate="46146.820365046297" createdVersion="8" refreshedVersion="8" minRefreshableVersion="3" recordCount="23" xr:uid="{5C8173A0-2B40-459F-B6AA-278D4130ECC8}">
  <cacheSource type="worksheet">
    <worksheetSource ref="A2:N28" sheet="PROVEEDORES LOCAL-PROVINCIA"/>
  </cacheSource>
  <cacheFields count="14">
    <cacheField name="Contacto" numFmtId="0">
      <sharedItems containsBlank="1"/>
    </cacheField>
    <cacheField name="PROVEEDOR" numFmtId="0">
      <sharedItems containsBlank="1"/>
    </cacheField>
    <cacheField name="Factura" numFmtId="0">
      <sharedItems containsBlank="1"/>
    </cacheField>
    <cacheField name="Fecha de Fact" numFmtId="0">
      <sharedItems containsNonDate="0" containsDate="1" containsString="0" containsBlank="1" minDate="2026-01-11T00:00:00" maxDate="2026-05-04T00:00:00"/>
    </cacheField>
    <cacheField name="Fecha de Servicio" numFmtId="0">
      <sharedItems containsNonDate="0" containsDate="1" containsString="0" containsBlank="1" minDate="2026-01-08T00:00:00" maxDate="2026-05-03T00:00:00"/>
    </cacheField>
    <cacheField name="Placa" numFmtId="0">
      <sharedItems containsBlank="1"/>
    </cacheField>
    <cacheField name="Cliente" numFmtId="0">
      <sharedItems containsBlank="1" count="4">
        <s v="Sonepar"/>
        <s v="Vainsa"/>
        <s v="Winter"/>
        <m/>
      </sharedItems>
    </cacheField>
    <cacheField name="m3" numFmtId="0">
      <sharedItems containsBlank="1" count="5">
        <s v="50m3"/>
        <s v="50 m3"/>
        <s v="85m3"/>
        <s v="70m3"/>
        <m/>
      </sharedItems>
    </cacheField>
    <cacheField name="Tn" numFmtId="0">
      <sharedItems containsBlank="1"/>
    </cacheField>
    <cacheField name="Inicio" numFmtId="0">
      <sharedItems containsBlank="1"/>
    </cacheField>
    <cacheField name="Destino" numFmtId="0">
      <sharedItems containsBlank="1"/>
    </cacheField>
    <cacheField name="Flete" numFmtId="44">
      <sharedItems containsString="0" containsBlank="1" containsNumber="1" minValue="350" maxValue="7000"/>
    </cacheField>
    <cacheField name="IGV" numFmtId="44">
      <sharedItems containsSemiMixedTypes="0" containsString="0" containsNumber="1" minValue="0" maxValue="1260"/>
    </cacheField>
    <cacheField name="Flete Total" numFmtId="44">
      <sharedItems containsSemiMixedTypes="0" containsString="0" containsNumber="1" minValue="0" maxValue="8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ly murga" refreshedDate="46162.79861435185" createdVersion="8" refreshedVersion="8" minRefreshableVersion="3" recordCount="51" xr:uid="{A04A2824-3891-4C04-A5A8-D0166D6DA6E7}">
  <cacheSource type="worksheet">
    <worksheetSource ref="A2:U55" sheet="PROVEEDORES LOCAL-PROVINCIA"/>
  </cacheSource>
  <cacheFields count="21">
    <cacheField name="Contacto" numFmtId="0">
      <sharedItems count="5">
        <s v="Carlos Davila"/>
        <s v="Marne Inversiones SAC"/>
        <s v="Plataforma"/>
        <s v="Joel "/>
        <s v="rey de las curvas"/>
      </sharedItems>
    </cacheField>
    <cacheField name="PROVEEDOR" numFmtId="0">
      <sharedItems/>
    </cacheField>
    <cacheField name="Factura" numFmtId="0">
      <sharedItems containsBlank="1"/>
    </cacheField>
    <cacheField name="Fecha Fact" numFmtId="0">
      <sharedItems containsNonDate="0" containsDate="1" containsString="0" containsBlank="1" minDate="2026-01-11T00:00:00" maxDate="2026-05-21T00:00:00"/>
    </cacheField>
    <cacheField name="Fecha de Servicio" numFmtId="0">
      <sharedItems containsNonDate="0" containsDate="1" containsString="0" containsBlank="1" minDate="2026-01-08T00:00:00" maxDate="2026-05-21T00:00:00"/>
    </cacheField>
    <cacheField name="Placa" numFmtId="0">
      <sharedItems containsBlank="1"/>
    </cacheField>
    <cacheField name="Cliente" numFmtId="0">
      <sharedItems containsBlank="1"/>
    </cacheField>
    <cacheField name="m3" numFmtId="0">
      <sharedItems containsBlank="1"/>
    </cacheField>
    <cacheField name="Tn" numFmtId="0">
      <sharedItems containsBlank="1"/>
    </cacheField>
    <cacheField name="Inicio" numFmtId="0">
      <sharedItems/>
    </cacheField>
    <cacheField name="Destino" numFmtId="0">
      <sharedItems/>
    </cacheField>
    <cacheField name="BI Flete" numFmtId="0">
      <sharedItems containsSemiMixedTypes="0" containsString="0" containsNumber="1" minValue="350" maxValue="7203.39"/>
    </cacheField>
    <cacheField name="IGV" numFmtId="44">
      <sharedItems containsSemiMixedTypes="0" containsString="0" containsNumber="1" minValue="63" maxValue="1296.6102000000001"/>
    </cacheField>
    <cacheField name="Flete Total Bruto" numFmtId="44">
      <sharedItems containsSemiMixedTypes="0" containsString="0" containsNumber="1" minValue="413" maxValue="8500.0002000000004"/>
    </cacheField>
    <cacheField name="4%" numFmtId="44">
      <sharedItems containsSemiMixedTypes="0" containsString="0" containsNumber="1" minValue="17" maxValue="340.00000800000004"/>
    </cacheField>
    <cacheField name="Total Pagar Proveedor" numFmtId="44">
      <sharedItems containsSemiMixedTypes="0" containsString="0" containsNumber="1" minValue="0" maxValue="8160.0001920000004"/>
    </cacheField>
    <cacheField name="Adelantos" numFmtId="0">
      <sharedItems containsString="0" containsBlank="1" containsNumber="1" minValue="396" maxValue="8160"/>
    </cacheField>
    <cacheField name="Saldo restante" numFmtId="44">
      <sharedItems containsSemiMixedTypes="0" containsString="0" containsNumber="1" minValue="-3.8400000012188684E-3" maxValue="5097"/>
    </cacheField>
    <cacheField name="Estado de Pago" numFmtId="0">
      <sharedItems/>
    </cacheField>
    <cacheField name="Estado de Detraccion" numFmtId="0">
      <sharedItems containsBlank="1"/>
    </cacheField>
    <cacheField name="# Constancia" numFmtId="0">
      <sharedItems containsBlank="1" containsMixedTypes="1" containsNumber="1" containsInteger="1" minValue="301536291" maxValue="3040106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ly murga" refreshedDate="46162.803461226853" createdVersion="8" refreshedVersion="8" minRefreshableVersion="3" recordCount="51" xr:uid="{A92CA832-D704-4735-B9C7-9CE9BC35A5B9}">
  <cacheSource type="worksheet">
    <worksheetSource ref="A2:U55" sheet="PROVEEDORES LOCAL-PROVINCIA"/>
  </cacheSource>
  <cacheFields count="23">
    <cacheField name="Contacto" numFmtId="0">
      <sharedItems/>
    </cacheField>
    <cacheField name="PROVEEDOR" numFmtId="0">
      <sharedItems/>
    </cacheField>
    <cacheField name="Factura" numFmtId="0">
      <sharedItems containsBlank="1"/>
    </cacheField>
    <cacheField name="Fecha Fact" numFmtId="0">
      <sharedItems containsNonDate="0" containsDate="1" containsString="0" containsBlank="1" minDate="2026-01-11T00:00:00" maxDate="2026-05-21T00:00:00" count="32">
        <d v="2026-01-11T00:00:00"/>
        <d v="2026-01-28T00:00:00"/>
        <d v="2026-01-29T00:00:00"/>
        <d v="2026-02-07T00:00:00"/>
        <d v="2026-02-09T00:00:00"/>
        <d v="2026-03-02T00:00:00"/>
        <d v="2026-03-19T00:00:00"/>
        <d v="2026-03-21T00:00:00"/>
        <d v="2026-03-27T00:00:00"/>
        <d v="2026-04-08T00:00:00"/>
        <d v="2026-04-15T00:00:00"/>
        <d v="2026-04-21T00:00:00"/>
        <d v="2026-04-22T00:00:00"/>
        <d v="2026-04-23T00:00:00"/>
        <d v="2026-04-27T00:00:00"/>
        <d v="2026-04-30T00:00:00"/>
        <d v="2026-05-05T00:00:00"/>
        <d v="2026-05-04T00:00:00"/>
        <d v="2026-05-06T00:00:00"/>
        <d v="2026-05-03T00:00:00"/>
        <m/>
        <d v="2026-05-07T00:00:00"/>
        <d v="2026-05-08T00:00:00"/>
        <d v="2026-05-09T00:00:00"/>
        <d v="2026-05-11T00:00:00"/>
        <d v="2026-05-12T00:00:00"/>
        <d v="2026-05-13T00:00:00"/>
        <d v="2026-05-15T00:00:00"/>
        <d v="2026-05-17T00:00:00"/>
        <d v="2026-05-18T00:00:00"/>
        <d v="2026-05-19T00:00:00"/>
        <d v="2026-05-20T00:00:00"/>
      </sharedItems>
      <fieldGroup par="22"/>
    </cacheField>
    <cacheField name="Fecha de Servicio" numFmtId="0">
      <sharedItems containsNonDate="0" containsDate="1" containsString="0" containsBlank="1" minDate="2026-01-08T00:00:00" maxDate="2026-05-21T00:00:00" count="28">
        <d v="2026-01-08T00:00:00"/>
        <d v="2026-01-28T00:00:00"/>
        <d v="2026-01-29T00:00:00"/>
        <d v="2026-02-09T00:00:00"/>
        <d v="2026-03-02T00:00:00"/>
        <d v="2026-03-19T00:00:00"/>
        <d v="2026-03-18T00:00:00"/>
        <d v="2026-03-27T00:00:00"/>
        <d v="2026-04-08T00:00:00"/>
        <d v="2026-04-10T00:00:00"/>
        <d v="2026-04-21T00:00:00"/>
        <d v="2026-04-22T00:00:00"/>
        <d v="2026-04-27T00:00:00"/>
        <d v="2026-04-30T00:00:00"/>
        <d v="2026-04-29T00:00:00"/>
        <d v="2026-05-05T00:00:00"/>
        <d v="2026-05-04T00:00:00"/>
        <d v="2026-05-02T00:00:00"/>
        <m/>
        <d v="2026-05-06T00:00:00"/>
        <d v="2026-05-09T00:00:00"/>
        <d v="2026-05-11T00:00:00"/>
        <d v="2026-05-12T00:00:00"/>
        <d v="2026-05-13T00:00:00"/>
        <d v="2026-05-15T00:00:00"/>
        <d v="2026-05-16T00:00:00"/>
        <d v="2026-05-18T00:00:00"/>
        <d v="2026-05-20T00:00:00"/>
      </sharedItems>
    </cacheField>
    <cacheField name="Placa" numFmtId="0">
      <sharedItems containsBlank="1"/>
    </cacheField>
    <cacheField name="Cliente" numFmtId="0">
      <sharedItems containsBlank="1" count="5">
        <s v="Sonepar"/>
        <s v="Vainsa"/>
        <s v="Winter"/>
        <s v="varios"/>
        <m u="1"/>
      </sharedItems>
    </cacheField>
    <cacheField name="m3" numFmtId="0">
      <sharedItems containsBlank="1"/>
    </cacheField>
    <cacheField name="Tn" numFmtId="0">
      <sharedItems containsBlank="1"/>
    </cacheField>
    <cacheField name="Inicio" numFmtId="0">
      <sharedItems/>
    </cacheField>
    <cacheField name="Destino" numFmtId="0">
      <sharedItems/>
    </cacheField>
    <cacheField name="BI Flete" numFmtId="0">
      <sharedItems containsSemiMixedTypes="0" containsString="0" containsNumber="1" minValue="350" maxValue="7203.39"/>
    </cacheField>
    <cacheField name="IGV" numFmtId="44">
      <sharedItems containsSemiMixedTypes="0" containsString="0" containsNumber="1" minValue="63" maxValue="1296.6102000000001"/>
    </cacheField>
    <cacheField name="Flete Total Bruto" numFmtId="44">
      <sharedItems containsSemiMixedTypes="0" containsString="0" containsNumber="1" minValue="413" maxValue="8500.0002000000004"/>
    </cacheField>
    <cacheField name="4%" numFmtId="44">
      <sharedItems containsSemiMixedTypes="0" containsString="0" containsNumber="1" minValue="17" maxValue="340.00000800000004"/>
    </cacheField>
    <cacheField name="Total Pagar Proveedor" numFmtId="44">
      <sharedItems containsSemiMixedTypes="0" containsString="0" containsNumber="1" minValue="0" maxValue="8160.0001920000004"/>
    </cacheField>
    <cacheField name="Adelantos" numFmtId="0">
      <sharedItems containsString="0" containsBlank="1" containsNumber="1" minValue="396" maxValue="8160"/>
    </cacheField>
    <cacheField name="Saldo restante" numFmtId="44">
      <sharedItems containsSemiMixedTypes="0" containsString="0" containsNumber="1" minValue="-3.8400000012188684E-3" maxValue="5097"/>
    </cacheField>
    <cacheField name="Estado de Pago" numFmtId="0">
      <sharedItems/>
    </cacheField>
    <cacheField name="Estado de Detraccion" numFmtId="0">
      <sharedItems containsBlank="1"/>
    </cacheField>
    <cacheField name="# Constancia" numFmtId="0">
      <sharedItems containsBlank="1" containsMixedTypes="1" containsNumber="1" containsInteger="1" minValue="301536291" maxValue="304010668"/>
    </cacheField>
    <cacheField name="Días (Fecha Fact)" numFmtId="0" databaseField="0">
      <fieldGroup base="3">
        <rangePr groupBy="days" startDate="2026-01-11T00:00:00" endDate="2026-05-21T00:00:00"/>
        <groupItems count="368">
          <s v="&lt;11/0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1/05/2026"/>
        </groupItems>
      </fieldGroup>
    </cacheField>
    <cacheField name="Meses (Fecha Fact)" numFmtId="0" databaseField="0">
      <fieldGroup base="3">
        <rangePr groupBy="months" startDate="2026-01-11T00:00:00" endDate="2026-05-21T00:00:00"/>
        <groupItems count="14">
          <s v="&lt;11/01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1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ly murga" refreshedDate="46162.807212615742" createdVersion="8" refreshedVersion="8" minRefreshableVersion="3" recordCount="22" xr:uid="{7D2EAAAD-64B1-4A58-8652-9ED3E241A1C7}">
  <cacheSource type="worksheet">
    <worksheetSource ref="A2:N24" sheet="PROVEEDORES LOCAL-PROVINCIA"/>
  </cacheSource>
  <cacheFields count="14">
    <cacheField name="Contacto" numFmtId="0">
      <sharedItems/>
    </cacheField>
    <cacheField name="PROVEEDOR" numFmtId="0">
      <sharedItems/>
    </cacheField>
    <cacheField name="Factura" numFmtId="0">
      <sharedItems/>
    </cacheField>
    <cacheField name="Fecha Fact" numFmtId="16">
      <sharedItems containsSemiMixedTypes="0" containsNonDate="0" containsDate="1" containsString="0" minDate="2026-01-11T00:00:00" maxDate="2026-05-01T00:00:00"/>
    </cacheField>
    <cacheField name="Fecha de Servicio" numFmtId="16">
      <sharedItems containsSemiMixedTypes="0" containsNonDate="0" containsDate="1" containsString="0" minDate="2026-01-08T00:00:00" maxDate="2026-05-01T00:00:00"/>
    </cacheField>
    <cacheField name="Placa" numFmtId="0">
      <sharedItems containsBlank="1"/>
    </cacheField>
    <cacheField name="Cliente" numFmtId="0">
      <sharedItems/>
    </cacheField>
    <cacheField name="m3" numFmtId="0">
      <sharedItems containsBlank="1" count="5">
        <s v="50m3"/>
        <s v="85m3"/>
        <m/>
        <s v="70m3"/>
        <s v="50 m3" u="1"/>
      </sharedItems>
    </cacheField>
    <cacheField name="Tn" numFmtId="0">
      <sharedItems containsBlank="1"/>
    </cacheField>
    <cacheField name="Inicio" numFmtId="0">
      <sharedItems/>
    </cacheField>
    <cacheField name="Destino" numFmtId="0">
      <sharedItems count="12">
        <s v="Trujillo-Piura"/>
        <s v="Arequipa"/>
        <s v="Trujillo"/>
        <s v="Lima"/>
        <s v="Piura"/>
        <s v="Jauja-Huancayo"/>
        <s v="Sullana"/>
        <s v="Tacna"/>
        <s v="Trujillo-Chiclayo"/>
        <s v="Chiclayo"/>
        <s v="Lurin"/>
        <s v="Cusco" u="1"/>
      </sharedItems>
    </cacheField>
    <cacheField name="BI Flete" numFmtId="44">
      <sharedItems containsSemiMixedTypes="0" containsString="0" containsNumber="1" minValue="350" maxValue="6000"/>
    </cacheField>
    <cacheField name="IGV" numFmtId="44">
      <sharedItems containsSemiMixedTypes="0" containsString="0" containsNumber="1" minValue="63" maxValue="1080"/>
    </cacheField>
    <cacheField name="Flete Total Bruto" numFmtId="44">
      <sharedItems containsSemiMixedTypes="0" containsString="0" containsNumber="1" minValue="413" maxValue="70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ly murga" refreshedDate="46162.807554398147" createdVersion="8" refreshedVersion="8" minRefreshableVersion="3" recordCount="52" xr:uid="{20F63D45-BD49-4404-9C32-89A86865F202}">
  <cacheSource type="worksheet">
    <worksheetSource ref="A2:U1048576" sheet="PROVEEDORES LOCAL-PROVINCIA"/>
  </cacheSource>
  <cacheFields count="21">
    <cacheField name="Contacto" numFmtId="0">
      <sharedItems containsBlank="1"/>
    </cacheField>
    <cacheField name="PROVEEDOR" numFmtId="0">
      <sharedItems containsBlank="1"/>
    </cacheField>
    <cacheField name="Factura" numFmtId="0">
      <sharedItems containsBlank="1"/>
    </cacheField>
    <cacheField name="Fecha Fact" numFmtId="0">
      <sharedItems containsNonDate="0" containsDate="1" containsString="0" containsBlank="1" minDate="2026-01-11T00:00:00" maxDate="2026-05-21T00:00:00"/>
    </cacheField>
    <cacheField name="Fecha de Servicio" numFmtId="0">
      <sharedItems containsNonDate="0" containsDate="1" containsString="0" containsBlank="1" minDate="2026-01-08T00:00:00" maxDate="2026-05-21T00:00:00"/>
    </cacheField>
    <cacheField name="Placa" numFmtId="0">
      <sharedItems containsBlank="1"/>
    </cacheField>
    <cacheField name="Cliente" numFmtId="0">
      <sharedItems containsBlank="1"/>
    </cacheField>
    <cacheField name="m3" numFmtId="0">
      <sharedItems containsBlank="1" count="8">
        <s v="50m3"/>
        <s v="85m3"/>
        <m/>
        <s v="70m3"/>
        <s v="35m3"/>
        <s v="80m3"/>
        <s v="-"/>
        <s v="75M3"/>
      </sharedItems>
    </cacheField>
    <cacheField name="Tn" numFmtId="0">
      <sharedItems containsBlank="1"/>
    </cacheField>
    <cacheField name="Inicio" numFmtId="0">
      <sharedItems containsBlank="1"/>
    </cacheField>
    <cacheField name="Destino" numFmtId="0">
      <sharedItems containsBlank="1" count="27">
        <s v="Trujillo-Piura"/>
        <s v="Arequipa"/>
        <s v="Trujillo"/>
        <s v="Lima"/>
        <s v="Piura"/>
        <s v="Jauja-Huancayo"/>
        <s v="Sullana"/>
        <s v="Tacna"/>
        <s v="Trujillo-Chiclayo"/>
        <s v="Chiclayo"/>
        <s v="Lurin"/>
        <s v="Trujillo/Chiclayo"/>
        <s v="Cerro de pasco/huanuco/Tingo"/>
        <s v="Huanuco/ Tingo"/>
        <s v="Walmay Chimbote"/>
        <s v="Abancay Cusco"/>
        <s v="Juliaca "/>
        <s v="pacasmayo"/>
        <s v="Puno"/>
        <s v="Tumbes"/>
        <s v="Huancayo"/>
        <s v="Huaraz"/>
        <s v="Varios"/>
        <s v="Andahuaylas/ Abancay"/>
        <s v="Jaen"/>
        <s v="Cajamarca"/>
        <m/>
      </sharedItems>
    </cacheField>
    <cacheField name="BI Flete" numFmtId="0">
      <sharedItems containsString="0" containsBlank="1" containsNumber="1" minValue="350" maxValue="7203.39"/>
    </cacheField>
    <cacheField name="IGV" numFmtId="0">
      <sharedItems containsString="0" containsBlank="1" containsNumber="1" minValue="63" maxValue="1296.6102000000001"/>
    </cacheField>
    <cacheField name="Flete Total Bruto" numFmtId="0">
      <sharedItems containsString="0" containsBlank="1" containsNumber="1" minValue="413" maxValue="8500.0002000000004"/>
    </cacheField>
    <cacheField name="4%" numFmtId="0">
      <sharedItems containsString="0" containsBlank="1" containsNumber="1" minValue="17" maxValue="340.00000800000004"/>
    </cacheField>
    <cacheField name="Total Pagar Proveedor" numFmtId="0">
      <sharedItems containsString="0" containsBlank="1" containsNumber="1" minValue="0" maxValue="8160.0001920000004"/>
    </cacheField>
    <cacheField name="Adelantos" numFmtId="0">
      <sharedItems containsString="0" containsBlank="1" containsNumber="1" minValue="396" maxValue="8160"/>
    </cacheField>
    <cacheField name="Saldo restante" numFmtId="0">
      <sharedItems containsString="0" containsBlank="1" containsNumber="1" minValue="-3.8400000012188684E-3" maxValue="5097"/>
    </cacheField>
    <cacheField name="Estado de Pago" numFmtId="0">
      <sharedItems containsBlank="1"/>
    </cacheField>
    <cacheField name="Estado de Detraccion" numFmtId="0">
      <sharedItems containsBlank="1"/>
    </cacheField>
    <cacheField name="# Constancia" numFmtId="0">
      <sharedItems containsBlank="1" containsMixedTypes="1" containsNumber="1" containsInteger="1" minValue="301536291" maxValue="3040106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Carlos Davila"/>
    <s v="Roda Expess sac"/>
    <s v="E001-356"/>
    <d v="2026-01-11T00:00:00"/>
    <d v="2026-01-08T00:00:00"/>
    <s v="D7S943"/>
    <x v="0"/>
    <x v="0"/>
    <s v="7tn"/>
    <s v="Lima"/>
    <s v="Trujillo-Piura"/>
    <n v="4100"/>
    <n v="738"/>
    <n v="4838"/>
  </r>
  <r>
    <s v="Carlos Davila"/>
    <s v="Roda Expess sac"/>
    <s v="E001-370"/>
    <d v="2026-01-28T00:00:00"/>
    <d v="2026-01-28T00:00:00"/>
    <s v="D7S943"/>
    <x v="0"/>
    <x v="0"/>
    <s v="7tn"/>
    <s v="Lima"/>
    <s v="Arequipa"/>
    <n v="4200"/>
    <n v="756"/>
    <n v="4956"/>
  </r>
  <r>
    <s v="Carlos Davila"/>
    <s v="Roda Expess sac"/>
    <s v="E001-386"/>
    <d v="2026-03-19T00:00:00"/>
    <d v="2026-03-19T00:00:00"/>
    <s v="AZP946"/>
    <x v="1"/>
    <x v="0"/>
    <s v="8tn"/>
    <s v="Lima"/>
    <s v="Jauja-Huancayo"/>
    <n v="2500"/>
    <n v="450"/>
    <n v="2950"/>
  </r>
  <r>
    <s v="Carlos Davila"/>
    <s v="Roda Expess sac"/>
    <s v="E001-391"/>
    <d v="2026-03-27T00:00:00"/>
    <d v="2026-03-27T00:00:00"/>
    <s v="D7S943"/>
    <x v="0"/>
    <x v="0"/>
    <s v="8tn"/>
    <s v="Lima"/>
    <s v="Trujillo"/>
    <n v="2700"/>
    <n v="486"/>
    <n v="3186"/>
  </r>
  <r>
    <s v="Carlos Davila"/>
    <s v="Roda Expess sac"/>
    <s v="E001-398"/>
    <d v="2026-04-22T00:00:00"/>
    <d v="2026-04-21T00:00:00"/>
    <s v="BZQ718"/>
    <x v="2"/>
    <x v="0"/>
    <s v="5 tn"/>
    <s v="Lima"/>
    <s v="Trujillo"/>
    <n v="2600"/>
    <n v="468"/>
    <n v="3068"/>
  </r>
  <r>
    <s v="Carlos Davila"/>
    <s v="Roda Expess sac"/>
    <s v="E001-399"/>
    <d v="2026-04-23T00:00:00"/>
    <d v="2026-04-22T00:00:00"/>
    <s v="AZP946"/>
    <x v="1"/>
    <x v="0"/>
    <s v="6 tn"/>
    <s v="Lima"/>
    <s v="Trujillo-Chiclayo"/>
    <n v="3400"/>
    <n v="612"/>
    <n v="4012"/>
  </r>
  <r>
    <s v="Carlos Davila"/>
    <s v="Roda Expess sac"/>
    <s v="E001-400"/>
    <d v="2026-04-23T00:00:00"/>
    <d v="2026-04-22T00:00:00"/>
    <s v="D7S943"/>
    <x v="2"/>
    <x v="1"/>
    <s v="7 tn"/>
    <s v="Lima"/>
    <s v="Arequipa"/>
    <n v="4800"/>
    <n v="864"/>
    <n v="5664"/>
  </r>
  <r>
    <s v="Carlos Davila"/>
    <s v="Roda Expess sac"/>
    <s v="E001-402"/>
    <d v="2026-04-30T00:00:00"/>
    <d v="2026-04-30T00:00:00"/>
    <s v="AZP946"/>
    <x v="2"/>
    <x v="0"/>
    <s v="8 tn"/>
    <s v="Lima"/>
    <s v="Piura"/>
    <n v="4700"/>
    <n v="846"/>
    <n v="5546"/>
  </r>
  <r>
    <s v="Carlos Davila"/>
    <s v="Transportes Aimar"/>
    <s v="E001-285"/>
    <d v="2026-04-23T00:00:00"/>
    <d v="2026-04-22T00:00:00"/>
    <s v="BKK847"/>
    <x v="2"/>
    <x v="2"/>
    <s v="11 tn"/>
    <s v="Lima"/>
    <s v="Chiclayo"/>
    <n v="4000"/>
    <n v="720"/>
    <n v="4720"/>
  </r>
  <r>
    <s v="Carlos Davila"/>
    <s v="Transportes Aimar"/>
    <s v="E001-285"/>
    <d v="2026-05-03T00:00:00"/>
    <d v="2026-05-02T00:00:00"/>
    <s v="AXT917"/>
    <x v="2"/>
    <x v="2"/>
    <s v="9 tn"/>
    <s v="Lima"/>
    <s v="Cusco"/>
    <n v="7000"/>
    <n v="1260"/>
    <n v="8260"/>
  </r>
  <r>
    <s v="Carlos Davila"/>
    <s v="Transportes Ccorimayo sac"/>
    <s v="E001-2067"/>
    <d v="2026-04-21T00:00:00"/>
    <d v="2026-04-21T00:00:00"/>
    <s v="BJI829"/>
    <x v="2"/>
    <x v="0"/>
    <s v="8tn"/>
    <s v="Lima"/>
    <s v="Tacna"/>
    <n v="5300"/>
    <n v="954"/>
    <n v="6254"/>
  </r>
  <r>
    <s v="Carlos Davila"/>
    <s v="Transportes Ccorimayo sac"/>
    <s v="E001-2050"/>
    <d v="2026-01-29T00:00:00"/>
    <d v="2026-01-29T00:00:00"/>
    <s v="AWE2050"/>
    <x v="0"/>
    <x v="2"/>
    <s v="15 tn"/>
    <s v="Lima"/>
    <s v="Trujillo"/>
    <n v="2800"/>
    <n v="504"/>
    <n v="3304"/>
  </r>
  <r>
    <s v="Carlos Davila"/>
    <s v="Inversiones K &amp; T"/>
    <s v="E001-209"/>
    <d v="2026-04-21T00:00:00"/>
    <d v="2026-04-21T00:00:00"/>
    <s v="BAD920"/>
    <x v="1"/>
    <x v="0"/>
    <s v="5 tn"/>
    <s v="Lima"/>
    <s v="Arequipa"/>
    <n v="4400"/>
    <n v="792"/>
    <n v="5192"/>
  </r>
  <r>
    <s v="Carlos Davila"/>
    <s v="Huaman Quispe Elvis"/>
    <s v="E001-66"/>
    <d v="2026-03-21T00:00:00"/>
    <d v="2026-03-18T00:00:00"/>
    <s v="ASD946"/>
    <x v="1"/>
    <x v="2"/>
    <s v="15 tn"/>
    <s v="Lima"/>
    <s v="Arequipa"/>
    <n v="5000"/>
    <n v="900"/>
    <n v="5900"/>
  </r>
  <r>
    <s v="Carlos Davila"/>
    <s v="Huaman Quispe Elvis"/>
    <s v="E001-63"/>
    <d v="2026-03-02T00:00:00"/>
    <d v="2026-03-02T00:00:00"/>
    <s v="ASD946"/>
    <x v="0"/>
    <x v="2"/>
    <s v="15 tn"/>
    <s v="Lima"/>
    <s v="Piura"/>
    <n v="4600"/>
    <n v="828"/>
    <n v="5428"/>
  </r>
  <r>
    <s v="Carlos Davila"/>
    <s v="Huaman Quispe Elvis"/>
    <s v="E001-59"/>
    <d v="2026-02-09T00:00:00"/>
    <d v="2026-02-09T00:00:00"/>
    <s v="ASD946"/>
    <x v="0"/>
    <x v="2"/>
    <s v="15 tn"/>
    <s v="Lima"/>
    <s v="Piura"/>
    <n v="4600"/>
    <n v="828"/>
    <n v="5428"/>
  </r>
  <r>
    <s v="Carlos Davila"/>
    <s v="Inversiones Kaylani sac"/>
    <s v="E001-42"/>
    <d v="2026-04-08T00:00:00"/>
    <d v="2026-04-08T00:00:00"/>
    <s v="BEH948"/>
    <x v="0"/>
    <x v="0"/>
    <s v="5 tn"/>
    <s v="Lima"/>
    <s v="Trujillo-Piura"/>
    <n v="4200"/>
    <n v="756"/>
    <n v="4956"/>
  </r>
  <r>
    <s v="Carlos Davila"/>
    <s v="Inversiones Kaylani sac"/>
    <s v="E001-44"/>
    <d v="2026-04-15T00:00:00"/>
    <d v="2026-04-10T00:00:00"/>
    <s v="BEH948"/>
    <x v="0"/>
    <x v="0"/>
    <s v="5 tn"/>
    <s v="Piura"/>
    <s v="Sullana"/>
    <n v="350"/>
    <n v="63"/>
    <n v="413"/>
  </r>
  <r>
    <s v="Joel "/>
    <s v="Corporacion dyj Rusal sac"/>
    <s v="E001-78"/>
    <d v="2026-04-30T00:00:00"/>
    <d v="2026-04-29T00:00:00"/>
    <s v="T9K915"/>
    <x v="1"/>
    <x v="2"/>
    <s v="15 tn"/>
    <s v="Lima"/>
    <s v="Arequipa"/>
    <n v="5932.2033000000001"/>
    <n v="1067.7965939999999"/>
    <n v="6999.9998940000005"/>
  </r>
  <r>
    <s v="Joel "/>
    <s v="Inversiones generales Rusilsan"/>
    <s v="E001-616"/>
    <d v="2026-04-30T00:00:00"/>
    <d v="2026-04-30T00:00:00"/>
    <s v="BZK725"/>
    <x v="2"/>
    <x v="3"/>
    <s v="10 tn"/>
    <s v="Lima"/>
    <s v="Chiclayo"/>
    <n v="4067.8"/>
    <n v="732.20399999999995"/>
    <n v="4800.0039999999999"/>
  </r>
  <r>
    <m/>
    <m/>
    <m/>
    <m/>
    <m/>
    <m/>
    <x v="3"/>
    <x v="4"/>
    <m/>
    <m/>
    <m/>
    <m/>
    <n v="0"/>
    <n v="0"/>
  </r>
  <r>
    <m/>
    <m/>
    <m/>
    <m/>
    <m/>
    <m/>
    <x v="3"/>
    <x v="4"/>
    <m/>
    <m/>
    <m/>
    <m/>
    <n v="0"/>
    <n v="0"/>
  </r>
  <r>
    <m/>
    <m/>
    <m/>
    <m/>
    <m/>
    <m/>
    <x v="3"/>
    <x v="4"/>
    <m/>
    <m/>
    <m/>
    <m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Roda Expess sac"/>
    <s v="E001-356"/>
    <d v="2026-01-11T00:00:00"/>
    <d v="2026-01-08T00:00:00"/>
    <s v="D7S943"/>
    <s v="Sonepar"/>
    <s v="50m3"/>
    <s v="7tn"/>
    <s v="Lima"/>
    <s v="Trujillo-Piura"/>
    <n v="4100"/>
    <n v="738"/>
    <n v="4838"/>
    <n v="194"/>
    <n v="4644"/>
    <n v="4644"/>
    <n v="0"/>
    <s v="Pagado"/>
    <m/>
    <m/>
  </r>
  <r>
    <x v="0"/>
    <s v="Roda Expess sac"/>
    <s v="E001-370"/>
    <d v="2026-01-28T00:00:00"/>
    <d v="2026-01-28T00:00:00"/>
    <s v="D7S943"/>
    <s v="Sonepar"/>
    <s v="50m3"/>
    <s v="7tn"/>
    <s v="Lima"/>
    <s v="Arequipa"/>
    <n v="4200"/>
    <n v="756"/>
    <n v="4956"/>
    <n v="199"/>
    <n v="0"/>
    <m/>
    <n v="0"/>
    <s v="Anulado"/>
    <s v="NC E001-29"/>
    <m/>
  </r>
  <r>
    <x v="0"/>
    <s v="Transportes Ccorimayo sac"/>
    <s v="E001-2050"/>
    <d v="2026-01-29T00:00:00"/>
    <d v="2026-01-29T00:00:00"/>
    <s v="AWE2050"/>
    <s v="Sonepar"/>
    <s v="85m3"/>
    <s v="15 tn"/>
    <s v="Lima"/>
    <s v="Trujillo"/>
    <n v="2800"/>
    <n v="504"/>
    <n v="3304"/>
    <n v="132"/>
    <n v="3172"/>
    <n v="3171"/>
    <n v="1"/>
    <s v="Pagado"/>
    <m/>
    <m/>
  </r>
  <r>
    <x v="0"/>
    <s v="Roda Expess sac"/>
    <s v="E001-373"/>
    <d v="2026-02-07T00:00:00"/>
    <d v="2026-01-28T00:00:00"/>
    <s v="D7S943"/>
    <s v="Sonepar"/>
    <s v="50m3"/>
    <s v="8tn"/>
    <s v="Lima"/>
    <s v="Lima"/>
    <n v="500"/>
    <n v="90"/>
    <n v="590"/>
    <n v="24"/>
    <n v="566"/>
    <n v="566"/>
    <n v="0"/>
    <s v="Pagado"/>
    <m/>
    <m/>
  </r>
  <r>
    <x v="0"/>
    <s v="Huaman Quispe Elvis"/>
    <s v="E001-59"/>
    <d v="2026-02-09T00:00:00"/>
    <d v="2026-02-09T00:00:00"/>
    <s v="ASD946"/>
    <s v="Sonepar"/>
    <s v="85m3"/>
    <s v="15 tn"/>
    <s v="Lima"/>
    <s v="Piura"/>
    <n v="4600"/>
    <n v="828"/>
    <n v="5428"/>
    <n v="218"/>
    <n v="5210"/>
    <n v="5210"/>
    <n v="0"/>
    <s v="Pagado"/>
    <m/>
    <m/>
  </r>
  <r>
    <x v="0"/>
    <s v="Huaman Quispe Elvis"/>
    <s v="E001-63"/>
    <d v="2026-03-02T00:00:00"/>
    <d v="2026-03-02T00:00:00"/>
    <s v="ASD946"/>
    <s v="Sonepar"/>
    <s v="85m3"/>
    <s v="15 tn"/>
    <s v="Lima"/>
    <s v="Piura"/>
    <n v="4600"/>
    <n v="828"/>
    <n v="5428"/>
    <n v="218"/>
    <n v="5210"/>
    <n v="5210"/>
    <n v="0"/>
    <s v="Pagado"/>
    <s v="Pagado"/>
    <s v="pendiente"/>
  </r>
  <r>
    <x v="0"/>
    <s v="Roda Expess sac"/>
    <s v="E001-386"/>
    <d v="2026-03-19T00:00:00"/>
    <d v="2026-03-19T00:00:00"/>
    <s v="AZP946"/>
    <s v="Vainsa"/>
    <s v="50m3"/>
    <s v="8tn"/>
    <s v="Lima"/>
    <s v="Jauja-Huancayo"/>
    <n v="2500"/>
    <n v="450"/>
    <n v="2950"/>
    <n v="118"/>
    <n v="2832"/>
    <n v="2832"/>
    <n v="0"/>
    <s v="Pagado"/>
    <s v="Pagado"/>
    <n v="301536291"/>
  </r>
  <r>
    <x v="0"/>
    <s v="Huaman Quispe Elvis"/>
    <s v="E001-66"/>
    <d v="2026-03-21T00:00:00"/>
    <d v="2026-03-18T00:00:00"/>
    <s v="ASD946"/>
    <s v="Vainsa"/>
    <s v="85m3"/>
    <s v="15 tn"/>
    <s v="Lima"/>
    <s v="Arequipa"/>
    <n v="5000"/>
    <n v="900"/>
    <n v="5900"/>
    <n v="236"/>
    <n v="5664"/>
    <n v="5664"/>
    <n v="0"/>
    <s v="Pagado"/>
    <s v="Pagado"/>
    <n v="301590550"/>
  </r>
  <r>
    <x v="0"/>
    <s v="Roda Expess sac"/>
    <s v="E001-391"/>
    <d v="2026-03-27T00:00:00"/>
    <d v="2026-03-27T00:00:00"/>
    <s v="D7S943"/>
    <s v="Sonepar"/>
    <s v="50m3"/>
    <s v="8tn"/>
    <s v="Lima"/>
    <s v="Trujillo"/>
    <n v="2700"/>
    <n v="486"/>
    <n v="3186"/>
    <n v="128"/>
    <n v="3058"/>
    <n v="3058"/>
    <n v="0"/>
    <s v="Pagado"/>
    <s v="Pagado"/>
    <n v="301537008"/>
  </r>
  <r>
    <x v="0"/>
    <s v="Inversiones Kaylani sac"/>
    <s v="E001-42"/>
    <d v="2026-04-08T00:00:00"/>
    <d v="2026-04-08T00:00:00"/>
    <s v="BEH948"/>
    <s v="Sonepar"/>
    <s v="50m3"/>
    <s v="5 tn"/>
    <s v="Lima"/>
    <s v="Trujillo-Piura"/>
    <n v="4200"/>
    <n v="756"/>
    <n v="4956"/>
    <n v="198"/>
    <n v="4758"/>
    <n v="4758"/>
    <n v="0"/>
    <s v="Pagado"/>
    <s v="Pagado"/>
    <n v="303921767"/>
  </r>
  <r>
    <x v="0"/>
    <s v="Inversiones Kaylani sac"/>
    <s v="E001-44"/>
    <d v="2026-04-15T00:00:00"/>
    <d v="2026-04-10T00:00:00"/>
    <s v="BEH948"/>
    <s v="Sonepar"/>
    <s v="50m3"/>
    <s v="5 tn"/>
    <s v="Piura"/>
    <s v="Sullana"/>
    <n v="350"/>
    <n v="63"/>
    <n v="413"/>
    <n v="17"/>
    <n v="396"/>
    <n v="396"/>
    <n v="0"/>
    <s v="Pagado"/>
    <s v="Pagado"/>
    <n v="303930251"/>
  </r>
  <r>
    <x v="0"/>
    <s v="Transportes Ccorimayo sac"/>
    <s v="E001-2067"/>
    <d v="2026-04-21T00:00:00"/>
    <d v="2026-04-21T00:00:00"/>
    <s v="BJI829"/>
    <s v="Winter"/>
    <s v="50m3"/>
    <s v="8tn"/>
    <s v="Lima"/>
    <s v="Tacna"/>
    <n v="5300"/>
    <n v="954"/>
    <n v="6254"/>
    <n v="250"/>
    <n v="6004"/>
    <n v="6004"/>
    <n v="0"/>
    <s v="Pagado"/>
    <s v="Pagado"/>
    <n v="303926932"/>
  </r>
  <r>
    <x v="0"/>
    <s v="Inversiones K &amp; T"/>
    <s v="E001-209"/>
    <d v="2026-04-21T00:00:00"/>
    <d v="2026-04-21T00:00:00"/>
    <s v="BAD920"/>
    <s v="Vainsa"/>
    <s v="50m3"/>
    <s v="5 tn"/>
    <s v="Lima"/>
    <s v="Arequipa"/>
    <n v="4400"/>
    <n v="792"/>
    <n v="5192"/>
    <n v="208"/>
    <n v="4984"/>
    <n v="4984"/>
    <n v="0"/>
    <s v="Pagado"/>
    <s v="Pagado"/>
    <n v="303930637"/>
  </r>
  <r>
    <x v="0"/>
    <s v="Roda Expess sac"/>
    <s v="E001-398"/>
    <d v="2026-04-22T00:00:00"/>
    <d v="2026-04-21T00:00:00"/>
    <s v="BZQ718"/>
    <s v="Winter"/>
    <s v="50m3"/>
    <s v="5 tn"/>
    <s v="Lima"/>
    <s v="Trujillo"/>
    <n v="2600"/>
    <n v="468"/>
    <n v="3068"/>
    <n v="123"/>
    <n v="2945"/>
    <n v="2945"/>
    <n v="0"/>
    <s v="Pagado"/>
    <s v="Pagado"/>
    <n v="303922307"/>
  </r>
  <r>
    <x v="0"/>
    <s v="Roda Expess sac"/>
    <s v="E001-399"/>
    <d v="2026-04-23T00:00:00"/>
    <d v="2026-04-22T00:00:00"/>
    <s v="AZP946"/>
    <s v="Vainsa"/>
    <s v="50m3"/>
    <s v="6 tn"/>
    <s v="Lima"/>
    <s v="Trujillo-Chiclayo"/>
    <n v="3400"/>
    <n v="612"/>
    <n v="4012"/>
    <n v="161"/>
    <n v="3851"/>
    <n v="3851"/>
    <n v="0"/>
    <s v="Pagado"/>
    <s v="Pagado"/>
    <n v="303926763"/>
  </r>
  <r>
    <x v="0"/>
    <s v="Roda Expess sac"/>
    <s v="E001-400"/>
    <d v="2026-04-23T00:00:00"/>
    <d v="2026-04-22T00:00:00"/>
    <s v="D7S943"/>
    <s v="Winter"/>
    <s v="50m3"/>
    <s v="7 tn"/>
    <s v="Lima"/>
    <s v="Arequipa"/>
    <n v="4800"/>
    <n v="864"/>
    <n v="5664"/>
    <n v="227"/>
    <n v="5437"/>
    <n v="5437"/>
    <n v="0"/>
    <s v="Pagado"/>
    <s v="Pagado"/>
    <n v="303928617"/>
  </r>
  <r>
    <x v="0"/>
    <s v="Transporte Aimar cargo sac"/>
    <s v="E001-285"/>
    <d v="2026-04-23T00:00:00"/>
    <d v="2026-04-22T00:00:00"/>
    <s v="BKK847"/>
    <s v="Winter"/>
    <s v="85m3"/>
    <s v="11 tn"/>
    <s v="Lima"/>
    <s v="Chiclayo"/>
    <n v="4000"/>
    <n v="720"/>
    <n v="4720"/>
    <n v="189"/>
    <n v="4531"/>
    <n v="4531"/>
    <n v="0"/>
    <s v="Pagado"/>
    <s v="Pagado"/>
    <n v="303923284"/>
  </r>
  <r>
    <x v="1"/>
    <s v="Marne Inversiones SAC"/>
    <s v="F001-412"/>
    <d v="2026-04-27T00:00:00"/>
    <d v="2026-04-27T00:00:00"/>
    <m/>
    <s v="Winter"/>
    <m/>
    <m/>
    <s v="Lima"/>
    <s v="Tacna"/>
    <n v="6000"/>
    <n v="1080"/>
    <n v="7080"/>
    <n v="283"/>
    <n v="6797"/>
    <n v="6797"/>
    <n v="0"/>
    <s v="Pagado"/>
    <s v="Pagado"/>
    <n v="304010668"/>
  </r>
  <r>
    <x v="0"/>
    <s v="Roda Expess sac"/>
    <s v="E001-402"/>
    <d v="2026-04-30T00:00:00"/>
    <d v="2026-04-30T00:00:00"/>
    <s v="AZP946"/>
    <s v="Winter"/>
    <s v="50m3"/>
    <s v="8 tn"/>
    <s v="Lima"/>
    <s v="Piura"/>
    <n v="4700"/>
    <n v="846"/>
    <n v="5546"/>
    <n v="221"/>
    <n v="5325"/>
    <n v="5325"/>
    <n v="0"/>
    <s v="Pagado"/>
    <s v="Pagado"/>
    <n v="303918813"/>
  </r>
  <r>
    <x v="2"/>
    <s v="JVC Transport &amp; Services sac"/>
    <s v="E001-9276"/>
    <d v="2026-04-30T00:00:00"/>
    <d v="2026-04-30T00:00:00"/>
    <m/>
    <s v="Sonepar"/>
    <m/>
    <s v="15 tn"/>
    <s v="Lima"/>
    <s v="Lurin"/>
    <n v="1025"/>
    <n v="184.5"/>
    <n v="1209.5"/>
    <n v="48.38"/>
    <n v="1161.1199999999999"/>
    <n v="1161.1199999999999"/>
    <n v="0"/>
    <s v="Pagado"/>
    <s v="Pagado"/>
    <n v="303922948"/>
  </r>
  <r>
    <x v="3"/>
    <s v="Corporacion dyj Rusal sac"/>
    <s v="E001-78"/>
    <d v="2026-04-30T00:00:00"/>
    <d v="2026-04-29T00:00:00"/>
    <s v="T9K915"/>
    <s v="Vainsa"/>
    <s v="85m3"/>
    <s v="15 tn"/>
    <s v="Lima"/>
    <s v="Arequipa"/>
    <n v="5932.2"/>
    <n v="1067.7959999999998"/>
    <n v="6999.9959999999992"/>
    <n v="279.99983999999995"/>
    <n v="6719.9961599999988"/>
    <n v="6720"/>
    <n v="-3.8400000012188684E-3"/>
    <s v="Pagado"/>
    <s v="Pagado"/>
    <n v="303920307"/>
  </r>
  <r>
    <x v="3"/>
    <s v="Inversiones generales Rusilsan"/>
    <s v="E001-616"/>
    <d v="2026-04-30T00:00:00"/>
    <d v="2026-04-30T00:00:00"/>
    <s v="BZK725"/>
    <s v="Winter"/>
    <s v="70m3"/>
    <s v="10 tn"/>
    <s v="Lima"/>
    <s v="Chiclayo"/>
    <n v="4067.8"/>
    <n v="732.20399999999995"/>
    <n v="4800.0039999999999"/>
    <n v="192.00015999999999"/>
    <n v="4608.0038400000003"/>
    <n v="4608"/>
    <n v="3.8400000003093737E-3"/>
    <s v="Pagado"/>
    <s v="Pagado"/>
    <n v="303921989"/>
  </r>
  <r>
    <x v="0"/>
    <s v="Transportes Ccorimayo sac"/>
    <s v="E001-2074"/>
    <d v="2026-05-05T00:00:00"/>
    <d v="2026-05-05T00:00:00"/>
    <s v="BJI829"/>
    <s v="Vainsa"/>
    <m/>
    <m/>
    <s v="Lima"/>
    <s v="Trujillo/Chiclayo"/>
    <n v="3400"/>
    <n v="612"/>
    <n v="4012"/>
    <n v="160"/>
    <n v="3852"/>
    <n v="3852"/>
    <n v="0"/>
    <s v="Pagado"/>
    <s v="Pendiente"/>
    <m/>
  </r>
  <r>
    <x v="0"/>
    <s v="Inversiones Kaylani sac"/>
    <s v="E0001-51"/>
    <d v="2026-05-04T00:00:00"/>
    <d v="2026-05-04T00:00:00"/>
    <s v="BEH948"/>
    <s v="Winter"/>
    <m/>
    <m/>
    <s v="Lima"/>
    <s v="Cerro de pasco/huanuco/Tingo"/>
    <n v="2800"/>
    <n v="504"/>
    <n v="3304"/>
    <n v="132"/>
    <n v="3172"/>
    <n v="3172"/>
    <n v="0"/>
    <s v="Pagado"/>
    <s v="Pendiente"/>
    <m/>
  </r>
  <r>
    <x v="0"/>
    <s v="Inversiones Kaylani sac"/>
    <s v="E0001-52"/>
    <d v="2026-05-06T00:00:00"/>
    <d v="2026-05-04T00:00:00"/>
    <s v="BEH948"/>
    <s v="Winter"/>
    <m/>
    <m/>
    <s v="Lima"/>
    <s v="Huanuco/ Tingo"/>
    <n v="600"/>
    <n v="108"/>
    <n v="708"/>
    <n v="28"/>
    <n v="680"/>
    <n v="680"/>
    <n v="0"/>
    <s v="Pagado"/>
    <s v="Pendiente"/>
    <m/>
  </r>
  <r>
    <x v="0"/>
    <s v="Transporte Viyaexpres sac"/>
    <s v="E001-138"/>
    <d v="2026-05-04T00:00:00"/>
    <d v="2026-05-04T00:00:00"/>
    <s v="BAD920"/>
    <s v="Winter"/>
    <m/>
    <m/>
    <s v="Lima"/>
    <s v="Walmay Chimbote"/>
    <n v="2200"/>
    <n v="396"/>
    <n v="2596"/>
    <n v="104"/>
    <n v="2492"/>
    <n v="2492"/>
    <n v="0"/>
    <s v="Pagado"/>
    <s v="Pendiente"/>
    <m/>
  </r>
  <r>
    <x v="0"/>
    <s v="Transporte Aimar cargo sac"/>
    <s v="E001-291"/>
    <d v="2026-05-03T00:00:00"/>
    <d v="2026-05-02T00:00:00"/>
    <s v="AXT917"/>
    <s v="Winter"/>
    <m/>
    <m/>
    <s v="Lima"/>
    <s v="Abancay Cusco"/>
    <n v="7000"/>
    <n v="1260"/>
    <n v="8260"/>
    <n v="331"/>
    <n v="7929"/>
    <n v="7929"/>
    <n v="0"/>
    <s v="Pagado"/>
    <s v="Pendiente"/>
    <m/>
  </r>
  <r>
    <x v="0"/>
    <s v="Heavy Truck Corporation sac"/>
    <s v="E001-522"/>
    <d v="2026-05-05T00:00:00"/>
    <d v="2026-05-05T00:00:00"/>
    <s v="AVE825"/>
    <s v="Winter"/>
    <m/>
    <m/>
    <s v="Lima"/>
    <s v="Juliaca "/>
    <n v="7000"/>
    <n v="1260"/>
    <n v="8260"/>
    <n v="331"/>
    <n v="7929"/>
    <n v="7929"/>
    <n v="0"/>
    <s v="Pagado"/>
    <s v="Pendiente"/>
    <m/>
  </r>
  <r>
    <x v="3"/>
    <s v="Inversiones generales Ruvilsan"/>
    <s v="E001-618"/>
    <d v="2026-05-04T00:00:00"/>
    <d v="2026-05-02T00:00:00"/>
    <s v="BZK726"/>
    <s v="Sonepar"/>
    <m/>
    <m/>
    <s v="Lima"/>
    <s v="Trujillo"/>
    <n v="3389.83"/>
    <n v="610.1694"/>
    <n v="3999.9993999999997"/>
    <n v="159.999976"/>
    <n v="3839.9994239999996"/>
    <n v="3840"/>
    <n v="-5.760000003647292E-4"/>
    <s v="Pagado"/>
    <s v="Pendiente"/>
    <m/>
  </r>
  <r>
    <x v="3"/>
    <s v="Corporacion DYJ Rusal "/>
    <s v="E001-79"/>
    <d v="2026-05-05T00:00:00"/>
    <m/>
    <s v="T9K915"/>
    <s v="Winter"/>
    <m/>
    <m/>
    <s v="Lima"/>
    <s v="Trujillo"/>
    <n v="3500"/>
    <n v="630"/>
    <n v="4130"/>
    <n v="165"/>
    <n v="3965"/>
    <n v="3965"/>
    <n v="0"/>
    <s v="Pagado"/>
    <s v="Pendiente"/>
    <m/>
  </r>
  <r>
    <x v="3"/>
    <s v="Inversiones generales Ruvilsan"/>
    <s v="E001-622"/>
    <d v="2026-05-05T00:00:00"/>
    <m/>
    <s v="TBV918"/>
    <s v="Winter"/>
    <m/>
    <m/>
    <s v="Lima"/>
    <s v="pacasmayo"/>
    <n v="2966.1"/>
    <n v="533.89799999999991"/>
    <n v="3499.9979999999996"/>
    <n v="139.99991999999997"/>
    <n v="3359.9980799999994"/>
    <n v="3360"/>
    <n v="-1.9200000006094342E-3"/>
    <s v="Pagado"/>
    <s v="Pendiente"/>
    <m/>
  </r>
  <r>
    <x v="3"/>
    <s v="Inversiones generales Ruvilsan"/>
    <s v="E001-623"/>
    <d v="2026-05-05T00:00:00"/>
    <m/>
    <s v="TFG886"/>
    <s v="Winter"/>
    <m/>
    <m/>
    <s v="Lima"/>
    <s v="Puno"/>
    <n v="7203.39"/>
    <n v="1296.6102000000001"/>
    <n v="8500.0002000000004"/>
    <n v="340.00000800000004"/>
    <n v="8160.0001920000004"/>
    <n v="8160"/>
    <n v="1.920000004247413E-4"/>
    <s v="Pagado"/>
    <s v="Pendiente"/>
    <m/>
  </r>
  <r>
    <x v="4"/>
    <s v="Antonio Quispe Wilber"/>
    <m/>
    <m/>
    <d v="2026-05-02T00:00:00"/>
    <s v="CBV888"/>
    <s v="Winter"/>
    <m/>
    <m/>
    <s v="Lima"/>
    <s v="Tumbes"/>
    <n v="4500"/>
    <n v="810"/>
    <n v="5310"/>
    <n v="213"/>
    <n v="5097"/>
    <m/>
    <n v="5097"/>
    <s v="Pendiente"/>
    <s v="Pendiente"/>
    <m/>
  </r>
  <r>
    <x v="0"/>
    <s v="Corporacion Ple SAC"/>
    <s v="E001-321"/>
    <d v="2026-05-07T00:00:00"/>
    <d v="2026-05-05T00:00:00"/>
    <s v="ASD892"/>
    <s v="Vainsa"/>
    <s v="35m3"/>
    <s v="5 tn"/>
    <s v="Lima"/>
    <s v="Huancayo"/>
    <n v="2100"/>
    <n v="378"/>
    <n v="2478"/>
    <n v="99"/>
    <n v="2379"/>
    <n v="2378.88"/>
    <n v="0.11999999999989086"/>
    <s v="Pagado"/>
    <s v="Pendiente"/>
    <m/>
  </r>
  <r>
    <x v="3"/>
    <s v="Inversiones generales Ruvilsan"/>
    <s v="E001-624"/>
    <d v="2026-05-08T00:00:00"/>
    <m/>
    <s v="BZK926"/>
    <m/>
    <m/>
    <m/>
    <s v="Lima"/>
    <s v="Trujillo"/>
    <n v="3389.83"/>
    <n v="610.1694"/>
    <n v="3999.9993999999997"/>
    <n v="159.999976"/>
    <n v="3839.9994239999996"/>
    <n v="3840"/>
    <n v="-5.760000003647292E-4"/>
    <s v="Pagado"/>
    <s v="Pendiente"/>
    <m/>
  </r>
  <r>
    <x v="0"/>
    <s v="Roda Expess sac"/>
    <s v="E001-404"/>
    <d v="2026-05-09T00:00:00"/>
    <d v="2026-05-06T00:00:00"/>
    <s v="D7S943"/>
    <s v="Winter"/>
    <s v="50m3"/>
    <s v="5tn"/>
    <s v="Lima"/>
    <s v="Huaraz"/>
    <n v="2600"/>
    <n v="468"/>
    <n v="3068"/>
    <n v="123"/>
    <n v="2945"/>
    <n v="2945"/>
    <n v="0"/>
    <s v="Pagado"/>
    <s v="Pendiente"/>
    <m/>
  </r>
  <r>
    <x v="0"/>
    <s v="Transportes Ccorimayo sac"/>
    <s v="E001-2076"/>
    <d v="2026-05-09T00:00:00"/>
    <d v="2026-05-09T00:00:00"/>
    <s v="BBD739"/>
    <s v="Winter"/>
    <s v="80m3"/>
    <s v="12tn"/>
    <s v="Lima"/>
    <s v="Piura"/>
    <n v="5400"/>
    <n v="972"/>
    <n v="6372"/>
    <n v="255"/>
    <n v="6117"/>
    <n v="6117"/>
    <n v="0"/>
    <s v="Pagado"/>
    <s v="Pendiente"/>
    <m/>
  </r>
  <r>
    <x v="0"/>
    <s v="Roda Expess sac"/>
    <s v="E001-405"/>
    <d v="2026-05-09T00:00:00"/>
    <d v="2026-05-09T00:00:00"/>
    <s v="D7S943"/>
    <s v="Winter"/>
    <s v="50m3"/>
    <s v="6tn"/>
    <s v="Lima"/>
    <s v="Piura"/>
    <n v="4700"/>
    <n v="846"/>
    <n v="5546"/>
    <n v="222"/>
    <n v="5324"/>
    <n v="5324"/>
    <n v="0"/>
    <s v="Pagado"/>
    <s v="Pendiente"/>
    <m/>
  </r>
  <r>
    <x v="0"/>
    <s v="Huaman Quispe Wilder"/>
    <s v="E001-223"/>
    <d v="2026-05-09T00:00:00"/>
    <d v="2026-05-09T00:00:00"/>
    <s v="BAD920"/>
    <s v="Winter"/>
    <s v="50m3"/>
    <s v="7tn"/>
    <s v="Lima"/>
    <s v="Trujillo"/>
    <n v="2700"/>
    <n v="486"/>
    <n v="3186"/>
    <n v="128"/>
    <n v="3058"/>
    <n v="3058"/>
    <n v="0"/>
    <s v="Pagado"/>
    <s v="Pendiente"/>
    <m/>
  </r>
  <r>
    <x v="4"/>
    <s v="Antonio Quispe Wilber"/>
    <s v="E001-49"/>
    <d v="2026-05-04T00:00:00"/>
    <d v="2026-05-04T00:00:00"/>
    <s v="CBV888"/>
    <s v="varios"/>
    <s v="-"/>
    <s v="-"/>
    <s v="Lima"/>
    <s v="Varios"/>
    <n v="5300"/>
    <n v="954"/>
    <n v="6254"/>
    <n v="251"/>
    <n v="6003"/>
    <n v="6003"/>
    <n v="0"/>
    <s v="Pagado"/>
    <s v="Pendiente"/>
    <m/>
  </r>
  <r>
    <x v="2"/>
    <s v="JVC Transport &amp; Services sac"/>
    <s v="E001-9318"/>
    <d v="2026-05-11T00:00:00"/>
    <d v="2026-05-11T00:00:00"/>
    <m/>
    <s v="Sonepar"/>
    <s v="-"/>
    <s v="-"/>
    <s v="Lima"/>
    <s v="Lurin"/>
    <n v="1000"/>
    <n v="180"/>
    <n v="1180"/>
    <n v="47"/>
    <n v="1133"/>
    <n v="1133"/>
    <n v="0"/>
    <s v="Pagado"/>
    <s v="Pendiente"/>
    <m/>
  </r>
  <r>
    <x v="0"/>
    <s v="Corporacion Ple SAC"/>
    <s v="E001-324"/>
    <d v="2026-05-12T00:00:00"/>
    <d v="2026-05-12T00:00:00"/>
    <s v="ARG901"/>
    <s v="Sonepar"/>
    <m/>
    <m/>
    <s v="Lima"/>
    <s v="Piura"/>
    <n v="4700"/>
    <n v="846"/>
    <n v="5546"/>
    <n v="222"/>
    <n v="5324"/>
    <n v="5324"/>
    <n v="0"/>
    <s v="Pagado"/>
    <s v="Pendiente"/>
    <m/>
  </r>
  <r>
    <x v="0"/>
    <s v="Corporacion Ple SAC"/>
    <s v="E001-325"/>
    <d v="2026-05-12T00:00:00"/>
    <d v="2026-05-12T00:00:00"/>
    <s v="ASD892"/>
    <s v="Winter"/>
    <m/>
    <m/>
    <s v="Lima"/>
    <s v="Piura"/>
    <n v="4700"/>
    <n v="846"/>
    <n v="5546"/>
    <n v="222"/>
    <n v="5324"/>
    <n v="5324"/>
    <n v="0"/>
    <s v="Pagado"/>
    <s v="Pendiente"/>
    <m/>
  </r>
  <r>
    <x v="0"/>
    <s v="Roda Expess sac"/>
    <s v="E001-406"/>
    <d v="2026-05-12T00:00:00"/>
    <d v="2026-05-11T00:00:00"/>
    <s v="AZP946"/>
    <s v="Winter"/>
    <m/>
    <m/>
    <s v="Lima"/>
    <s v="Tacna"/>
    <n v="5600"/>
    <n v="1008"/>
    <n v="6608"/>
    <n v="265"/>
    <n v="6343"/>
    <n v="3000"/>
    <n v="3343"/>
    <s v="Pendiente"/>
    <s v="Pendiente"/>
    <m/>
  </r>
  <r>
    <x v="0"/>
    <s v="Transporte Viyaexpres sac"/>
    <s v="E001-149"/>
    <d v="2026-05-13T00:00:00"/>
    <d v="2026-05-13T00:00:00"/>
    <s v="AYQ776"/>
    <s v="Winter"/>
    <m/>
    <m/>
    <s v="Lima"/>
    <s v="Juliaca "/>
    <n v="7000"/>
    <n v="1260"/>
    <n v="8260"/>
    <n v="331"/>
    <n v="7929"/>
    <n v="7929"/>
    <n v="0"/>
    <s v="Pagado"/>
    <s v="Pendiente"/>
    <m/>
  </r>
  <r>
    <x v="0"/>
    <s v="Transporte Viyaexpres sac"/>
    <s v="E001-152"/>
    <d v="2026-05-15T00:00:00"/>
    <d v="2026-05-15T00:00:00"/>
    <s v="BYQ837"/>
    <s v="Sonepar"/>
    <s v="50m3"/>
    <s v="7tn"/>
    <s v="Lima"/>
    <s v="Trujillo"/>
    <n v="2700"/>
    <n v="486"/>
    <n v="3186"/>
    <n v="128"/>
    <n v="3058"/>
    <n v="3058"/>
    <n v="0"/>
    <s v="Pagado"/>
    <s v="Pendiente"/>
    <m/>
  </r>
  <r>
    <x v="0"/>
    <s v="Roda Expess sac"/>
    <s v="E001-409"/>
    <d v="2026-05-17T00:00:00"/>
    <d v="2026-05-16T00:00:00"/>
    <s v="D7S943"/>
    <s v="Winter"/>
    <s v="50m3"/>
    <s v="5tn"/>
    <s v="Lima"/>
    <s v="Andahuaylas/ Abancay"/>
    <n v="5200"/>
    <n v="936"/>
    <n v="6136"/>
    <n v="246"/>
    <n v="5890"/>
    <n v="2000"/>
    <n v="3890"/>
    <s v="Pendiente"/>
    <s v="Pendiente"/>
    <m/>
  </r>
  <r>
    <x v="3"/>
    <s v="Inversiones generales Ruvilsan"/>
    <s v="E001-627"/>
    <d v="2026-05-18T00:00:00"/>
    <d v="2026-05-18T00:00:00"/>
    <s v="BZK725"/>
    <m/>
    <m/>
    <m/>
    <s v="Lima"/>
    <s v="Jaen"/>
    <n v="5593.22"/>
    <n v="1006.7796"/>
    <n v="6599.9996000000001"/>
    <n v="263.99998399999998"/>
    <n v="6335.9996160000001"/>
    <n v="6336"/>
    <n v="-3.839999999399879E-4"/>
    <s v="Pagado"/>
    <s v="Pendiente"/>
    <m/>
  </r>
  <r>
    <x v="0"/>
    <s v="Huaman Quispe Elvis"/>
    <s v="E001-83"/>
    <d v="2026-05-19T00:00:00"/>
    <d v="2026-05-18T00:00:00"/>
    <s v="H2C888"/>
    <s v="Winter"/>
    <s v="75M3"/>
    <s v="9.5TN"/>
    <s v="Lima"/>
    <s v="Piura"/>
    <n v="5300"/>
    <n v="954"/>
    <n v="6254"/>
    <n v="251"/>
    <n v="6003"/>
    <n v="2000"/>
    <n v="4003"/>
    <s v="Pendiente"/>
    <s v="Pendiente"/>
    <m/>
  </r>
  <r>
    <x v="0"/>
    <s v="Roda Expess sac"/>
    <s v="e001-410"/>
    <d v="2026-05-20T00:00:00"/>
    <d v="2026-05-18T00:00:00"/>
    <s v="AZP946"/>
    <s v="Winter"/>
    <s v="50m3"/>
    <s v="7tn"/>
    <s v="Lima"/>
    <s v="Cajamarca"/>
    <n v="4200"/>
    <n v="756"/>
    <n v="4956"/>
    <n v="199"/>
    <n v="4757"/>
    <n v="1500"/>
    <n v="3257"/>
    <s v="Pendiente"/>
    <s v="Pendiente"/>
    <m/>
  </r>
  <r>
    <x v="0"/>
    <s v="Huaman Quispe Elvis"/>
    <s v="E001-84"/>
    <d v="2026-05-20T00:00:00"/>
    <d v="2026-05-20T00:00:00"/>
    <s v="ASD946"/>
    <s v="Winter"/>
    <s v="80m3"/>
    <s v="12TTN"/>
    <s v="Lima"/>
    <s v="Tacna"/>
    <n v="6600"/>
    <n v="1188"/>
    <n v="7788"/>
    <n v="311.52"/>
    <n v="7476.48"/>
    <n v="3000"/>
    <n v="4476.4799999999996"/>
    <s v="Pendiente"/>
    <s v="Pendiente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Carlos Davila"/>
    <s v="Roda Expess sac"/>
    <s v="E001-356"/>
    <x v="0"/>
    <x v="0"/>
    <s v="D7S943"/>
    <x v="0"/>
    <s v="50m3"/>
    <s v="7tn"/>
    <s v="Lima"/>
    <s v="Trujillo-Piura"/>
    <n v="4100"/>
    <n v="738"/>
    <n v="4838"/>
    <n v="194"/>
    <n v="4644"/>
    <n v="4644"/>
    <n v="0"/>
    <s v="Pagado"/>
    <m/>
    <m/>
  </r>
  <r>
    <s v="Carlos Davila"/>
    <s v="Roda Expess sac"/>
    <s v="E001-370"/>
    <x v="1"/>
    <x v="1"/>
    <s v="D7S943"/>
    <x v="0"/>
    <s v="50m3"/>
    <s v="7tn"/>
    <s v="Lima"/>
    <s v="Arequipa"/>
    <n v="4200"/>
    <n v="756"/>
    <n v="4956"/>
    <n v="199"/>
    <n v="0"/>
    <m/>
    <n v="0"/>
    <s v="Anulado"/>
    <s v="NC E001-29"/>
    <m/>
  </r>
  <r>
    <s v="Carlos Davila"/>
    <s v="Transportes Ccorimayo sac"/>
    <s v="E001-2050"/>
    <x v="2"/>
    <x v="2"/>
    <s v="AWE2050"/>
    <x v="0"/>
    <s v="85m3"/>
    <s v="15 tn"/>
    <s v="Lima"/>
    <s v="Trujillo"/>
    <n v="2800"/>
    <n v="504"/>
    <n v="3304"/>
    <n v="132"/>
    <n v="3172"/>
    <n v="3171"/>
    <n v="1"/>
    <s v="Pagado"/>
    <m/>
    <m/>
  </r>
  <r>
    <s v="Carlos Davila"/>
    <s v="Roda Expess sac"/>
    <s v="E001-373"/>
    <x v="3"/>
    <x v="1"/>
    <s v="D7S943"/>
    <x v="0"/>
    <s v="50m3"/>
    <s v="8tn"/>
    <s v="Lima"/>
    <s v="Lima"/>
    <n v="500"/>
    <n v="90"/>
    <n v="590"/>
    <n v="24"/>
    <n v="566"/>
    <n v="566"/>
    <n v="0"/>
    <s v="Pagado"/>
    <m/>
    <m/>
  </r>
  <r>
    <s v="Carlos Davila"/>
    <s v="Huaman Quispe Elvis"/>
    <s v="E001-59"/>
    <x v="4"/>
    <x v="3"/>
    <s v="ASD946"/>
    <x v="0"/>
    <s v="85m3"/>
    <s v="15 tn"/>
    <s v="Lima"/>
    <s v="Piura"/>
    <n v="4600"/>
    <n v="828"/>
    <n v="5428"/>
    <n v="218"/>
    <n v="5210"/>
    <n v="5210"/>
    <n v="0"/>
    <s v="Pagado"/>
    <m/>
    <m/>
  </r>
  <r>
    <s v="Carlos Davila"/>
    <s v="Huaman Quispe Elvis"/>
    <s v="E001-63"/>
    <x v="5"/>
    <x v="4"/>
    <s v="ASD946"/>
    <x v="0"/>
    <s v="85m3"/>
    <s v="15 tn"/>
    <s v="Lima"/>
    <s v="Piura"/>
    <n v="4600"/>
    <n v="828"/>
    <n v="5428"/>
    <n v="218"/>
    <n v="5210"/>
    <n v="5210"/>
    <n v="0"/>
    <s v="Pagado"/>
    <s v="Pagado"/>
    <s v="pendiente"/>
  </r>
  <r>
    <s v="Carlos Davila"/>
    <s v="Roda Expess sac"/>
    <s v="E001-386"/>
    <x v="6"/>
    <x v="5"/>
    <s v="AZP946"/>
    <x v="1"/>
    <s v="50m3"/>
    <s v="8tn"/>
    <s v="Lima"/>
    <s v="Jauja-Huancayo"/>
    <n v="2500"/>
    <n v="450"/>
    <n v="2950"/>
    <n v="118"/>
    <n v="2832"/>
    <n v="2832"/>
    <n v="0"/>
    <s v="Pagado"/>
    <s v="Pagado"/>
    <n v="301536291"/>
  </r>
  <r>
    <s v="Carlos Davila"/>
    <s v="Huaman Quispe Elvis"/>
    <s v="E001-66"/>
    <x v="7"/>
    <x v="6"/>
    <s v="ASD946"/>
    <x v="1"/>
    <s v="85m3"/>
    <s v="15 tn"/>
    <s v="Lima"/>
    <s v="Arequipa"/>
    <n v="5000"/>
    <n v="900"/>
    <n v="5900"/>
    <n v="236"/>
    <n v="5664"/>
    <n v="5664"/>
    <n v="0"/>
    <s v="Pagado"/>
    <s v="Pagado"/>
    <n v="301590550"/>
  </r>
  <r>
    <s v="Carlos Davila"/>
    <s v="Roda Expess sac"/>
    <s v="E001-391"/>
    <x v="8"/>
    <x v="7"/>
    <s v="D7S943"/>
    <x v="0"/>
    <s v="50m3"/>
    <s v="8tn"/>
    <s v="Lima"/>
    <s v="Trujillo"/>
    <n v="2700"/>
    <n v="486"/>
    <n v="3186"/>
    <n v="128"/>
    <n v="3058"/>
    <n v="3058"/>
    <n v="0"/>
    <s v="Pagado"/>
    <s v="Pagado"/>
    <n v="301537008"/>
  </r>
  <r>
    <s v="Carlos Davila"/>
    <s v="Inversiones Kaylani sac"/>
    <s v="E001-42"/>
    <x v="9"/>
    <x v="8"/>
    <s v="BEH948"/>
    <x v="0"/>
    <s v="50m3"/>
    <s v="5 tn"/>
    <s v="Lima"/>
    <s v="Trujillo-Piura"/>
    <n v="4200"/>
    <n v="756"/>
    <n v="4956"/>
    <n v="198"/>
    <n v="4758"/>
    <n v="4758"/>
    <n v="0"/>
    <s v="Pagado"/>
    <s v="Pagado"/>
    <n v="303921767"/>
  </r>
  <r>
    <s v="Carlos Davila"/>
    <s v="Inversiones Kaylani sac"/>
    <s v="E001-44"/>
    <x v="10"/>
    <x v="9"/>
    <s v="BEH948"/>
    <x v="0"/>
    <s v="50m3"/>
    <s v="5 tn"/>
    <s v="Piura"/>
    <s v="Sullana"/>
    <n v="350"/>
    <n v="63"/>
    <n v="413"/>
    <n v="17"/>
    <n v="396"/>
    <n v="396"/>
    <n v="0"/>
    <s v="Pagado"/>
    <s v="Pagado"/>
    <n v="303930251"/>
  </r>
  <r>
    <s v="Carlos Davila"/>
    <s v="Transportes Ccorimayo sac"/>
    <s v="E001-2067"/>
    <x v="11"/>
    <x v="10"/>
    <s v="BJI829"/>
    <x v="2"/>
    <s v="50m3"/>
    <s v="8tn"/>
    <s v="Lima"/>
    <s v="Tacna"/>
    <n v="5300"/>
    <n v="954"/>
    <n v="6254"/>
    <n v="250"/>
    <n v="6004"/>
    <n v="6004"/>
    <n v="0"/>
    <s v="Pagado"/>
    <s v="Pagado"/>
    <n v="303926932"/>
  </r>
  <r>
    <s v="Carlos Davila"/>
    <s v="Inversiones K &amp; T"/>
    <s v="E001-209"/>
    <x v="11"/>
    <x v="10"/>
    <s v="BAD920"/>
    <x v="1"/>
    <s v="50m3"/>
    <s v="5 tn"/>
    <s v="Lima"/>
    <s v="Arequipa"/>
    <n v="4400"/>
    <n v="792"/>
    <n v="5192"/>
    <n v="208"/>
    <n v="4984"/>
    <n v="4984"/>
    <n v="0"/>
    <s v="Pagado"/>
    <s v="Pagado"/>
    <n v="303930637"/>
  </r>
  <r>
    <s v="Carlos Davila"/>
    <s v="Roda Expess sac"/>
    <s v="E001-398"/>
    <x v="12"/>
    <x v="10"/>
    <s v="BZQ718"/>
    <x v="2"/>
    <s v="50m3"/>
    <s v="5 tn"/>
    <s v="Lima"/>
    <s v="Trujillo"/>
    <n v="2600"/>
    <n v="468"/>
    <n v="3068"/>
    <n v="123"/>
    <n v="2945"/>
    <n v="2945"/>
    <n v="0"/>
    <s v="Pagado"/>
    <s v="Pagado"/>
    <n v="303922307"/>
  </r>
  <r>
    <s v="Carlos Davila"/>
    <s v="Roda Expess sac"/>
    <s v="E001-399"/>
    <x v="13"/>
    <x v="11"/>
    <s v="AZP946"/>
    <x v="1"/>
    <s v="50m3"/>
    <s v="6 tn"/>
    <s v="Lima"/>
    <s v="Trujillo-Chiclayo"/>
    <n v="3400"/>
    <n v="612"/>
    <n v="4012"/>
    <n v="161"/>
    <n v="3851"/>
    <n v="3851"/>
    <n v="0"/>
    <s v="Pagado"/>
    <s v="Pagado"/>
    <n v="303926763"/>
  </r>
  <r>
    <s v="Carlos Davila"/>
    <s v="Roda Expess sac"/>
    <s v="E001-400"/>
    <x v="13"/>
    <x v="11"/>
    <s v="D7S943"/>
    <x v="2"/>
    <s v="50m3"/>
    <s v="7 tn"/>
    <s v="Lima"/>
    <s v="Arequipa"/>
    <n v="4800"/>
    <n v="864"/>
    <n v="5664"/>
    <n v="227"/>
    <n v="5437"/>
    <n v="5437"/>
    <n v="0"/>
    <s v="Pagado"/>
    <s v="Pagado"/>
    <n v="303928617"/>
  </r>
  <r>
    <s v="Carlos Davila"/>
    <s v="Transporte Aimar cargo sac"/>
    <s v="E001-285"/>
    <x v="13"/>
    <x v="11"/>
    <s v="BKK847"/>
    <x v="2"/>
    <s v="85m3"/>
    <s v="11 tn"/>
    <s v="Lima"/>
    <s v="Chiclayo"/>
    <n v="4000"/>
    <n v="720"/>
    <n v="4720"/>
    <n v="189"/>
    <n v="4531"/>
    <n v="4531"/>
    <n v="0"/>
    <s v="Pagado"/>
    <s v="Pagado"/>
    <n v="303923284"/>
  </r>
  <r>
    <s v="Marne Inversiones SAC"/>
    <s v="Marne Inversiones SAC"/>
    <s v="F001-412"/>
    <x v="14"/>
    <x v="12"/>
    <m/>
    <x v="2"/>
    <m/>
    <m/>
    <s v="Lima"/>
    <s v="Tacna"/>
    <n v="6000"/>
    <n v="1080"/>
    <n v="7080"/>
    <n v="283"/>
    <n v="6797"/>
    <n v="6797"/>
    <n v="0"/>
    <s v="Pagado"/>
    <s v="Pagado"/>
    <n v="304010668"/>
  </r>
  <r>
    <s v="Carlos Davila"/>
    <s v="Roda Expess sac"/>
    <s v="E001-402"/>
    <x v="15"/>
    <x v="13"/>
    <s v="AZP946"/>
    <x v="2"/>
    <s v="50m3"/>
    <s v="8 tn"/>
    <s v="Lima"/>
    <s v="Piura"/>
    <n v="4700"/>
    <n v="846"/>
    <n v="5546"/>
    <n v="221"/>
    <n v="5325"/>
    <n v="5325"/>
    <n v="0"/>
    <s v="Pagado"/>
    <s v="Pagado"/>
    <n v="303918813"/>
  </r>
  <r>
    <s v="Plataforma"/>
    <s v="JVC Transport &amp; Services sac"/>
    <s v="E001-9276"/>
    <x v="15"/>
    <x v="13"/>
    <m/>
    <x v="0"/>
    <m/>
    <s v="15 tn"/>
    <s v="Lima"/>
    <s v="Lurin"/>
    <n v="1025"/>
    <n v="184.5"/>
    <n v="1209.5"/>
    <n v="48.38"/>
    <n v="1161.1199999999999"/>
    <n v="1161.1199999999999"/>
    <n v="0"/>
    <s v="Pagado"/>
    <s v="Pagado"/>
    <n v="303922948"/>
  </r>
  <r>
    <s v="Joel "/>
    <s v="Corporacion dyj Rusal sac"/>
    <s v="E001-78"/>
    <x v="15"/>
    <x v="14"/>
    <s v="T9K915"/>
    <x v="1"/>
    <s v="85m3"/>
    <s v="15 tn"/>
    <s v="Lima"/>
    <s v="Arequipa"/>
    <n v="5932.2"/>
    <n v="1067.7959999999998"/>
    <n v="6999.9959999999992"/>
    <n v="279.99983999999995"/>
    <n v="6719.9961599999988"/>
    <n v="6720"/>
    <n v="-3.8400000012188684E-3"/>
    <s v="Pagado"/>
    <s v="Pagado"/>
    <n v="303920307"/>
  </r>
  <r>
    <s v="Joel "/>
    <s v="Inversiones generales Rusilsan"/>
    <s v="E001-616"/>
    <x v="15"/>
    <x v="13"/>
    <s v="BZK725"/>
    <x v="2"/>
    <s v="70m3"/>
    <s v="10 tn"/>
    <s v="Lima"/>
    <s v="Chiclayo"/>
    <n v="4067.8"/>
    <n v="732.20399999999995"/>
    <n v="4800.0039999999999"/>
    <n v="192.00015999999999"/>
    <n v="4608.0038400000003"/>
    <n v="4608"/>
    <n v="3.8400000003093737E-3"/>
    <s v="Pagado"/>
    <s v="Pagado"/>
    <n v="303921989"/>
  </r>
  <r>
    <s v="Carlos Davila"/>
    <s v="Transportes Ccorimayo sac"/>
    <s v="E001-2074"/>
    <x v="16"/>
    <x v="15"/>
    <s v="BJI829"/>
    <x v="1"/>
    <m/>
    <m/>
    <s v="Lima"/>
    <s v="Trujillo/Chiclayo"/>
    <n v="3400"/>
    <n v="612"/>
    <n v="4012"/>
    <n v="160"/>
    <n v="3852"/>
    <n v="3852"/>
    <n v="0"/>
    <s v="Pagado"/>
    <s v="Pendiente"/>
    <m/>
  </r>
  <r>
    <s v="Carlos Davila"/>
    <s v="Inversiones Kaylani sac"/>
    <s v="E0001-51"/>
    <x v="17"/>
    <x v="16"/>
    <s v="BEH948"/>
    <x v="2"/>
    <m/>
    <m/>
    <s v="Lima"/>
    <s v="Cerro de pasco/huanuco/Tingo"/>
    <n v="2800"/>
    <n v="504"/>
    <n v="3304"/>
    <n v="132"/>
    <n v="3172"/>
    <n v="3172"/>
    <n v="0"/>
    <s v="Pagado"/>
    <s v="Pendiente"/>
    <m/>
  </r>
  <r>
    <s v="Carlos Davila"/>
    <s v="Inversiones Kaylani sac"/>
    <s v="E0001-52"/>
    <x v="18"/>
    <x v="16"/>
    <s v="BEH948"/>
    <x v="2"/>
    <m/>
    <m/>
    <s v="Lima"/>
    <s v="Huanuco/ Tingo"/>
    <n v="600"/>
    <n v="108"/>
    <n v="708"/>
    <n v="28"/>
    <n v="680"/>
    <n v="680"/>
    <n v="0"/>
    <s v="Pagado"/>
    <s v="Pendiente"/>
    <m/>
  </r>
  <r>
    <s v="Carlos Davila"/>
    <s v="Transporte Viyaexpres sac"/>
    <s v="E001-138"/>
    <x v="17"/>
    <x v="16"/>
    <s v="BAD920"/>
    <x v="2"/>
    <m/>
    <m/>
    <s v="Lima"/>
    <s v="Walmay Chimbote"/>
    <n v="2200"/>
    <n v="396"/>
    <n v="2596"/>
    <n v="104"/>
    <n v="2492"/>
    <n v="2492"/>
    <n v="0"/>
    <s v="Pagado"/>
    <s v="Pendiente"/>
    <m/>
  </r>
  <r>
    <s v="Carlos Davila"/>
    <s v="Transporte Aimar cargo sac"/>
    <s v="E001-291"/>
    <x v="19"/>
    <x v="17"/>
    <s v="AXT917"/>
    <x v="2"/>
    <m/>
    <m/>
    <s v="Lima"/>
    <s v="Abancay Cusco"/>
    <n v="7000"/>
    <n v="1260"/>
    <n v="8260"/>
    <n v="331"/>
    <n v="7929"/>
    <n v="7929"/>
    <n v="0"/>
    <s v="Pagado"/>
    <s v="Pendiente"/>
    <m/>
  </r>
  <r>
    <s v="Carlos Davila"/>
    <s v="Heavy Truck Corporation sac"/>
    <s v="E001-522"/>
    <x v="16"/>
    <x v="15"/>
    <s v="AVE825"/>
    <x v="2"/>
    <m/>
    <m/>
    <s v="Lima"/>
    <s v="Juliaca "/>
    <n v="7000"/>
    <n v="1260"/>
    <n v="8260"/>
    <n v="331"/>
    <n v="7929"/>
    <n v="7929"/>
    <n v="0"/>
    <s v="Pagado"/>
    <s v="Pendiente"/>
    <m/>
  </r>
  <r>
    <s v="Joel "/>
    <s v="Inversiones generales Ruvilsan"/>
    <s v="E001-618"/>
    <x v="17"/>
    <x v="17"/>
    <s v="BZK726"/>
    <x v="0"/>
    <m/>
    <m/>
    <s v="Lima"/>
    <s v="Trujillo"/>
    <n v="3389.83"/>
    <n v="610.1694"/>
    <n v="3999.9993999999997"/>
    <n v="159.999976"/>
    <n v="3839.9994239999996"/>
    <n v="3840"/>
    <n v="-5.760000003647292E-4"/>
    <s v="Pagado"/>
    <s v="Pendiente"/>
    <m/>
  </r>
  <r>
    <s v="Joel "/>
    <s v="Corporacion DYJ Rusal "/>
    <s v="E001-79"/>
    <x v="16"/>
    <x v="18"/>
    <s v="T9K915"/>
    <x v="2"/>
    <m/>
    <m/>
    <s v="Lima"/>
    <s v="Trujillo"/>
    <n v="3500"/>
    <n v="630"/>
    <n v="4130"/>
    <n v="165"/>
    <n v="3965"/>
    <n v="3965"/>
    <n v="0"/>
    <s v="Pagado"/>
    <s v="Pendiente"/>
    <m/>
  </r>
  <r>
    <s v="Joel "/>
    <s v="Inversiones generales Ruvilsan"/>
    <s v="E001-622"/>
    <x v="16"/>
    <x v="18"/>
    <s v="TBV918"/>
    <x v="2"/>
    <m/>
    <m/>
    <s v="Lima"/>
    <s v="pacasmayo"/>
    <n v="2966.1"/>
    <n v="533.89799999999991"/>
    <n v="3499.9979999999996"/>
    <n v="139.99991999999997"/>
    <n v="3359.9980799999994"/>
    <n v="3360"/>
    <n v="-1.9200000006094342E-3"/>
    <s v="Pagado"/>
    <s v="Pendiente"/>
    <m/>
  </r>
  <r>
    <s v="Joel "/>
    <s v="Inversiones generales Ruvilsan"/>
    <s v="E001-623"/>
    <x v="16"/>
    <x v="18"/>
    <s v="TFG886"/>
    <x v="2"/>
    <m/>
    <m/>
    <s v="Lima"/>
    <s v="Puno"/>
    <n v="7203.39"/>
    <n v="1296.6102000000001"/>
    <n v="8500.0002000000004"/>
    <n v="340.00000800000004"/>
    <n v="8160.0001920000004"/>
    <n v="8160"/>
    <n v="1.920000004247413E-4"/>
    <s v="Pagado"/>
    <s v="Pendiente"/>
    <m/>
  </r>
  <r>
    <s v="rey de las curvas"/>
    <s v="Antonio Quispe Wilber"/>
    <m/>
    <x v="20"/>
    <x v="17"/>
    <s v="CBV888"/>
    <x v="2"/>
    <m/>
    <m/>
    <s v="Lima"/>
    <s v="Tumbes"/>
    <n v="4500"/>
    <n v="810"/>
    <n v="5310"/>
    <n v="213"/>
    <n v="5097"/>
    <m/>
    <n v="5097"/>
    <s v="Pendiente"/>
    <s v="Pendiente"/>
    <m/>
  </r>
  <r>
    <s v="Carlos Davila"/>
    <s v="Corporacion Ple SAC"/>
    <s v="E001-321"/>
    <x v="21"/>
    <x v="15"/>
    <s v="ASD892"/>
    <x v="1"/>
    <s v="35m3"/>
    <s v="5 tn"/>
    <s v="Lima"/>
    <s v="Huancayo"/>
    <n v="2100"/>
    <n v="378"/>
    <n v="2478"/>
    <n v="99"/>
    <n v="2379"/>
    <n v="2378.88"/>
    <n v="0.11999999999989086"/>
    <s v="Pagado"/>
    <s v="Pendiente"/>
    <m/>
  </r>
  <r>
    <s v="Joel "/>
    <s v="Inversiones generales Ruvilsan"/>
    <s v="E001-624"/>
    <x v="22"/>
    <x v="18"/>
    <s v="BZK926"/>
    <x v="2"/>
    <m/>
    <m/>
    <s v="Lima"/>
    <s v="Trujillo"/>
    <n v="3389.83"/>
    <n v="610.1694"/>
    <n v="3999.9993999999997"/>
    <n v="159.999976"/>
    <n v="3839.9994239999996"/>
    <n v="3840"/>
    <n v="-5.760000003647292E-4"/>
    <s v="Pagado"/>
    <s v="Pendiente"/>
    <m/>
  </r>
  <r>
    <s v="Carlos Davila"/>
    <s v="Roda Expess sac"/>
    <s v="E001-404"/>
    <x v="23"/>
    <x v="19"/>
    <s v="D7S943"/>
    <x v="2"/>
    <s v="50m3"/>
    <s v="5tn"/>
    <s v="Lima"/>
    <s v="Huaraz"/>
    <n v="2600"/>
    <n v="468"/>
    <n v="3068"/>
    <n v="123"/>
    <n v="2945"/>
    <n v="2945"/>
    <n v="0"/>
    <s v="Pagado"/>
    <s v="Pendiente"/>
    <m/>
  </r>
  <r>
    <s v="Carlos Davila"/>
    <s v="Transportes Ccorimayo sac"/>
    <s v="E001-2076"/>
    <x v="23"/>
    <x v="20"/>
    <s v="BBD739"/>
    <x v="2"/>
    <s v="80m3"/>
    <s v="12tn"/>
    <s v="Lima"/>
    <s v="Piura"/>
    <n v="5400"/>
    <n v="972"/>
    <n v="6372"/>
    <n v="255"/>
    <n v="6117"/>
    <n v="6117"/>
    <n v="0"/>
    <s v="Pagado"/>
    <s v="Pendiente"/>
    <m/>
  </r>
  <r>
    <s v="Carlos Davila"/>
    <s v="Roda Expess sac"/>
    <s v="E001-405"/>
    <x v="23"/>
    <x v="20"/>
    <s v="D7S943"/>
    <x v="2"/>
    <s v="50m3"/>
    <s v="6tn"/>
    <s v="Lima"/>
    <s v="Piura"/>
    <n v="4700"/>
    <n v="846"/>
    <n v="5546"/>
    <n v="222"/>
    <n v="5324"/>
    <n v="5324"/>
    <n v="0"/>
    <s v="Pagado"/>
    <s v="Pendiente"/>
    <m/>
  </r>
  <r>
    <s v="Carlos Davila"/>
    <s v="Huaman Quispe Wilder"/>
    <s v="E001-223"/>
    <x v="23"/>
    <x v="20"/>
    <s v="BAD920"/>
    <x v="2"/>
    <s v="50m3"/>
    <s v="7tn"/>
    <s v="Lima"/>
    <s v="Trujillo"/>
    <n v="2700"/>
    <n v="486"/>
    <n v="3186"/>
    <n v="128"/>
    <n v="3058"/>
    <n v="3058"/>
    <n v="0"/>
    <s v="Pagado"/>
    <s v="Pendiente"/>
    <m/>
  </r>
  <r>
    <s v="rey de las curvas"/>
    <s v="Antonio Quispe Wilber"/>
    <s v="E001-49"/>
    <x v="17"/>
    <x v="16"/>
    <s v="CBV888"/>
    <x v="3"/>
    <s v="-"/>
    <s v="-"/>
    <s v="Lima"/>
    <s v="Varios"/>
    <n v="5300"/>
    <n v="954"/>
    <n v="6254"/>
    <n v="251"/>
    <n v="6003"/>
    <n v="6003"/>
    <n v="0"/>
    <s v="Pagado"/>
    <s v="Pendiente"/>
    <m/>
  </r>
  <r>
    <s v="Plataforma"/>
    <s v="JVC Transport &amp; Services sac"/>
    <s v="E001-9318"/>
    <x v="24"/>
    <x v="21"/>
    <m/>
    <x v="0"/>
    <s v="-"/>
    <s v="-"/>
    <s v="Lima"/>
    <s v="Lurin"/>
    <n v="1000"/>
    <n v="180"/>
    <n v="1180"/>
    <n v="47"/>
    <n v="1133"/>
    <n v="1133"/>
    <n v="0"/>
    <s v="Pagado"/>
    <s v="Pendiente"/>
    <m/>
  </r>
  <r>
    <s v="Carlos Davila"/>
    <s v="Corporacion Ple SAC"/>
    <s v="E001-324"/>
    <x v="25"/>
    <x v="22"/>
    <s v="ARG901"/>
    <x v="0"/>
    <m/>
    <m/>
    <s v="Lima"/>
    <s v="Piura"/>
    <n v="4700"/>
    <n v="846"/>
    <n v="5546"/>
    <n v="222"/>
    <n v="5324"/>
    <n v="5324"/>
    <n v="0"/>
    <s v="Pagado"/>
    <s v="Pendiente"/>
    <m/>
  </r>
  <r>
    <s v="Carlos Davila"/>
    <s v="Corporacion Ple SAC"/>
    <s v="E001-325"/>
    <x v="25"/>
    <x v="22"/>
    <s v="ASD892"/>
    <x v="2"/>
    <m/>
    <m/>
    <s v="Lima"/>
    <s v="Piura"/>
    <n v="4700"/>
    <n v="846"/>
    <n v="5546"/>
    <n v="222"/>
    <n v="5324"/>
    <n v="5324"/>
    <n v="0"/>
    <s v="Pagado"/>
    <s v="Pendiente"/>
    <m/>
  </r>
  <r>
    <s v="Carlos Davila"/>
    <s v="Roda Expess sac"/>
    <s v="E001-406"/>
    <x v="25"/>
    <x v="21"/>
    <s v="AZP946"/>
    <x v="2"/>
    <m/>
    <m/>
    <s v="Lima"/>
    <s v="Tacna"/>
    <n v="5600"/>
    <n v="1008"/>
    <n v="6608"/>
    <n v="265"/>
    <n v="6343"/>
    <n v="3000"/>
    <n v="3343"/>
    <s v="Pendiente"/>
    <s v="Pendiente"/>
    <m/>
  </r>
  <r>
    <s v="Carlos Davila"/>
    <s v="Transporte Viyaexpres sac"/>
    <s v="E001-149"/>
    <x v="26"/>
    <x v="23"/>
    <s v="AYQ776"/>
    <x v="2"/>
    <m/>
    <m/>
    <s v="Lima"/>
    <s v="Juliaca "/>
    <n v="7000"/>
    <n v="1260"/>
    <n v="8260"/>
    <n v="331"/>
    <n v="7929"/>
    <n v="7929"/>
    <n v="0"/>
    <s v="Pagado"/>
    <s v="Pendiente"/>
    <m/>
  </r>
  <r>
    <s v="Carlos Davila"/>
    <s v="Transporte Viyaexpres sac"/>
    <s v="E001-152"/>
    <x v="27"/>
    <x v="24"/>
    <s v="BYQ837"/>
    <x v="0"/>
    <s v="50m3"/>
    <s v="7tn"/>
    <s v="Lima"/>
    <s v="Trujillo"/>
    <n v="2700"/>
    <n v="486"/>
    <n v="3186"/>
    <n v="128"/>
    <n v="3058"/>
    <n v="3058"/>
    <n v="0"/>
    <s v="Pagado"/>
    <s v="Pendiente"/>
    <m/>
  </r>
  <r>
    <s v="Carlos Davila"/>
    <s v="Roda Expess sac"/>
    <s v="E001-409"/>
    <x v="28"/>
    <x v="25"/>
    <s v="D7S943"/>
    <x v="2"/>
    <s v="50m3"/>
    <s v="5tn"/>
    <s v="Lima"/>
    <s v="Andahuaylas/ Abancay"/>
    <n v="5200"/>
    <n v="936"/>
    <n v="6136"/>
    <n v="246"/>
    <n v="5890"/>
    <n v="2000"/>
    <n v="3890"/>
    <s v="Pendiente"/>
    <s v="Pendiente"/>
    <m/>
  </r>
  <r>
    <s v="Joel "/>
    <s v="Inversiones generales Ruvilsan"/>
    <s v="E001-627"/>
    <x v="29"/>
    <x v="26"/>
    <s v="BZK725"/>
    <x v="2"/>
    <m/>
    <m/>
    <s v="Lima"/>
    <s v="Jaen"/>
    <n v="5593.22"/>
    <n v="1006.7796"/>
    <n v="6599.9996000000001"/>
    <n v="263.99998399999998"/>
    <n v="6335.9996160000001"/>
    <n v="6336"/>
    <n v="-3.839999999399879E-4"/>
    <s v="Pagado"/>
    <s v="Pendiente"/>
    <m/>
  </r>
  <r>
    <s v="Carlos Davila"/>
    <s v="Huaman Quispe Elvis"/>
    <s v="E001-83"/>
    <x v="30"/>
    <x v="26"/>
    <s v="H2C888"/>
    <x v="2"/>
    <s v="75M3"/>
    <s v="9.5TN"/>
    <s v="Lima"/>
    <s v="Piura"/>
    <n v="5300"/>
    <n v="954"/>
    <n v="6254"/>
    <n v="251"/>
    <n v="6003"/>
    <n v="2000"/>
    <n v="4003"/>
    <s v="Pendiente"/>
    <s v="Pendiente"/>
    <m/>
  </r>
  <r>
    <s v="Carlos Davila"/>
    <s v="Roda Expess sac"/>
    <s v="e001-410"/>
    <x v="31"/>
    <x v="26"/>
    <s v="AZP946"/>
    <x v="2"/>
    <s v="50m3"/>
    <s v="7tn"/>
    <s v="Lima"/>
    <s v="Cajamarca"/>
    <n v="4200"/>
    <n v="756"/>
    <n v="4956"/>
    <n v="199"/>
    <n v="4757"/>
    <n v="1500"/>
    <n v="3257"/>
    <s v="Pendiente"/>
    <s v="Pendiente"/>
    <m/>
  </r>
  <r>
    <s v="Carlos Davila"/>
    <s v="Huaman Quispe Elvis"/>
    <s v="E001-84"/>
    <x v="31"/>
    <x v="27"/>
    <s v="ASD946"/>
    <x v="2"/>
    <s v="80m3"/>
    <s v="12TTN"/>
    <s v="Lima"/>
    <s v="Tacna"/>
    <n v="6600"/>
    <n v="1188"/>
    <n v="7788"/>
    <n v="311.52"/>
    <n v="7476.48"/>
    <n v="3000"/>
    <n v="4476.4799999999996"/>
    <s v="Pendiente"/>
    <s v="Pendiente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Carlos Davila"/>
    <s v="Roda Expess sac"/>
    <s v="E001-356"/>
    <d v="2026-01-11T00:00:00"/>
    <d v="2026-01-08T00:00:00"/>
    <s v="D7S943"/>
    <s v="Sonepar"/>
    <x v="0"/>
    <s v="7tn"/>
    <s v="Lima"/>
    <x v="0"/>
    <n v="4100"/>
    <n v="738"/>
    <n v="4838"/>
  </r>
  <r>
    <s v="Carlos Davila"/>
    <s v="Roda Expess sac"/>
    <s v="E001-370"/>
    <d v="2026-01-28T00:00:00"/>
    <d v="2026-01-28T00:00:00"/>
    <s v="D7S943"/>
    <s v="Sonepar"/>
    <x v="0"/>
    <s v="7tn"/>
    <s v="Lima"/>
    <x v="1"/>
    <n v="4200"/>
    <n v="756"/>
    <n v="4956"/>
  </r>
  <r>
    <s v="Carlos Davila"/>
    <s v="Transportes Ccorimayo sac"/>
    <s v="E001-2050"/>
    <d v="2026-01-29T00:00:00"/>
    <d v="2026-01-29T00:00:00"/>
    <s v="AWE2050"/>
    <s v="Sonepar"/>
    <x v="1"/>
    <s v="15 tn"/>
    <s v="Lima"/>
    <x v="2"/>
    <n v="2800"/>
    <n v="504"/>
    <n v="3304"/>
  </r>
  <r>
    <s v="Carlos Davila"/>
    <s v="Roda Expess sac"/>
    <s v="E001-373"/>
    <d v="2026-02-07T00:00:00"/>
    <d v="2026-01-28T00:00:00"/>
    <s v="D7S943"/>
    <s v="Sonepar"/>
    <x v="0"/>
    <s v="8tn"/>
    <s v="Lima"/>
    <x v="3"/>
    <n v="500"/>
    <n v="90"/>
    <n v="590"/>
  </r>
  <r>
    <s v="Carlos Davila"/>
    <s v="Huaman Quispe Elvis"/>
    <s v="E001-59"/>
    <d v="2026-02-09T00:00:00"/>
    <d v="2026-02-09T00:00:00"/>
    <s v="ASD946"/>
    <s v="Sonepar"/>
    <x v="1"/>
    <s v="15 tn"/>
    <s v="Lima"/>
    <x v="4"/>
    <n v="4600"/>
    <n v="828"/>
    <n v="5428"/>
  </r>
  <r>
    <s v="Carlos Davila"/>
    <s v="Huaman Quispe Elvis"/>
    <s v="E001-63"/>
    <d v="2026-03-02T00:00:00"/>
    <d v="2026-03-02T00:00:00"/>
    <s v="ASD946"/>
    <s v="Sonepar"/>
    <x v="1"/>
    <s v="15 tn"/>
    <s v="Lima"/>
    <x v="4"/>
    <n v="4600"/>
    <n v="828"/>
    <n v="5428"/>
  </r>
  <r>
    <s v="Carlos Davila"/>
    <s v="Roda Expess sac"/>
    <s v="E001-386"/>
    <d v="2026-03-19T00:00:00"/>
    <d v="2026-03-19T00:00:00"/>
    <s v="AZP946"/>
    <s v="Vainsa"/>
    <x v="0"/>
    <s v="8tn"/>
    <s v="Lima"/>
    <x v="5"/>
    <n v="2500"/>
    <n v="450"/>
    <n v="2950"/>
  </r>
  <r>
    <s v="Carlos Davila"/>
    <s v="Huaman Quispe Elvis"/>
    <s v="E001-66"/>
    <d v="2026-03-21T00:00:00"/>
    <d v="2026-03-18T00:00:00"/>
    <s v="ASD946"/>
    <s v="Vainsa"/>
    <x v="1"/>
    <s v="15 tn"/>
    <s v="Lima"/>
    <x v="1"/>
    <n v="5000"/>
    <n v="900"/>
    <n v="5900"/>
  </r>
  <r>
    <s v="Carlos Davila"/>
    <s v="Roda Expess sac"/>
    <s v="E001-391"/>
    <d v="2026-03-27T00:00:00"/>
    <d v="2026-03-27T00:00:00"/>
    <s v="D7S943"/>
    <s v="Sonepar"/>
    <x v="0"/>
    <s v="8tn"/>
    <s v="Lima"/>
    <x v="2"/>
    <n v="2700"/>
    <n v="486"/>
    <n v="3186"/>
  </r>
  <r>
    <s v="Carlos Davila"/>
    <s v="Inversiones Kaylani sac"/>
    <s v="E001-42"/>
    <d v="2026-04-08T00:00:00"/>
    <d v="2026-04-08T00:00:00"/>
    <s v="BEH948"/>
    <s v="Sonepar"/>
    <x v="0"/>
    <s v="5 tn"/>
    <s v="Lima"/>
    <x v="0"/>
    <n v="4200"/>
    <n v="756"/>
    <n v="4956"/>
  </r>
  <r>
    <s v="Carlos Davila"/>
    <s v="Inversiones Kaylani sac"/>
    <s v="E001-44"/>
    <d v="2026-04-15T00:00:00"/>
    <d v="2026-04-10T00:00:00"/>
    <s v="BEH948"/>
    <s v="Sonepar"/>
    <x v="0"/>
    <s v="5 tn"/>
    <s v="Piura"/>
    <x v="6"/>
    <n v="350"/>
    <n v="63"/>
    <n v="413"/>
  </r>
  <r>
    <s v="Carlos Davila"/>
    <s v="Transportes Ccorimayo sac"/>
    <s v="E001-2067"/>
    <d v="2026-04-21T00:00:00"/>
    <d v="2026-04-21T00:00:00"/>
    <s v="BJI829"/>
    <s v="Winter"/>
    <x v="0"/>
    <s v="8tn"/>
    <s v="Lima"/>
    <x v="7"/>
    <n v="5300"/>
    <n v="954"/>
    <n v="6254"/>
  </r>
  <r>
    <s v="Carlos Davila"/>
    <s v="Inversiones K &amp; T"/>
    <s v="E001-209"/>
    <d v="2026-04-21T00:00:00"/>
    <d v="2026-04-21T00:00:00"/>
    <s v="BAD920"/>
    <s v="Vainsa"/>
    <x v="0"/>
    <s v="5 tn"/>
    <s v="Lima"/>
    <x v="1"/>
    <n v="4400"/>
    <n v="792"/>
    <n v="5192"/>
  </r>
  <r>
    <s v="Carlos Davila"/>
    <s v="Roda Expess sac"/>
    <s v="E001-398"/>
    <d v="2026-04-22T00:00:00"/>
    <d v="2026-04-21T00:00:00"/>
    <s v="BZQ718"/>
    <s v="Winter"/>
    <x v="0"/>
    <s v="5 tn"/>
    <s v="Lima"/>
    <x v="2"/>
    <n v="2600"/>
    <n v="468"/>
    <n v="3068"/>
  </r>
  <r>
    <s v="Carlos Davila"/>
    <s v="Roda Expess sac"/>
    <s v="E001-399"/>
    <d v="2026-04-23T00:00:00"/>
    <d v="2026-04-22T00:00:00"/>
    <s v="AZP946"/>
    <s v="Vainsa"/>
    <x v="0"/>
    <s v="6 tn"/>
    <s v="Lima"/>
    <x v="8"/>
    <n v="3400"/>
    <n v="612"/>
    <n v="4012"/>
  </r>
  <r>
    <s v="Carlos Davila"/>
    <s v="Roda Expess sac"/>
    <s v="E001-400"/>
    <d v="2026-04-23T00:00:00"/>
    <d v="2026-04-22T00:00:00"/>
    <s v="D7S943"/>
    <s v="Winter"/>
    <x v="0"/>
    <s v="7 tn"/>
    <s v="Lima"/>
    <x v="1"/>
    <n v="4800"/>
    <n v="864"/>
    <n v="5664"/>
  </r>
  <r>
    <s v="Carlos Davila"/>
    <s v="Transporte Aimar cargo sac"/>
    <s v="E001-285"/>
    <d v="2026-04-23T00:00:00"/>
    <d v="2026-04-22T00:00:00"/>
    <s v="BKK847"/>
    <s v="Winter"/>
    <x v="1"/>
    <s v="11 tn"/>
    <s v="Lima"/>
    <x v="9"/>
    <n v="4000"/>
    <n v="720"/>
    <n v="4720"/>
  </r>
  <r>
    <s v="Marne Inversiones SAC"/>
    <s v="Marne Inversiones SAC"/>
    <s v="F001-412"/>
    <d v="2026-04-27T00:00:00"/>
    <d v="2026-04-27T00:00:00"/>
    <m/>
    <s v="Winter"/>
    <x v="2"/>
    <m/>
    <s v="Lima"/>
    <x v="7"/>
    <n v="6000"/>
    <n v="1080"/>
    <n v="7080"/>
  </r>
  <r>
    <s v="Carlos Davila"/>
    <s v="Roda Expess sac"/>
    <s v="E001-402"/>
    <d v="2026-04-30T00:00:00"/>
    <d v="2026-04-30T00:00:00"/>
    <s v="AZP946"/>
    <s v="Winter"/>
    <x v="0"/>
    <s v="8 tn"/>
    <s v="Lima"/>
    <x v="4"/>
    <n v="4700"/>
    <n v="846"/>
    <n v="5546"/>
  </r>
  <r>
    <s v="Plataforma"/>
    <s v="JVC Transport &amp; Services sac"/>
    <s v="E001-9276"/>
    <d v="2026-04-30T00:00:00"/>
    <d v="2026-04-30T00:00:00"/>
    <m/>
    <s v="Sonepar"/>
    <x v="2"/>
    <s v="15 tn"/>
    <s v="Lima"/>
    <x v="10"/>
    <n v="1025"/>
    <n v="184.5"/>
    <n v="1209.5"/>
  </r>
  <r>
    <s v="Joel "/>
    <s v="Corporacion dyj Rusal sac"/>
    <s v="E001-78"/>
    <d v="2026-04-30T00:00:00"/>
    <d v="2026-04-29T00:00:00"/>
    <s v="T9K915"/>
    <s v="Vainsa"/>
    <x v="1"/>
    <s v="15 tn"/>
    <s v="Lima"/>
    <x v="1"/>
    <n v="5932.2"/>
    <n v="1067.7959999999998"/>
    <n v="6999.9959999999992"/>
  </r>
  <r>
    <s v="Joel "/>
    <s v="Inversiones generales Rusilsan"/>
    <s v="E001-616"/>
    <d v="2026-04-30T00:00:00"/>
    <d v="2026-04-30T00:00:00"/>
    <s v="BZK725"/>
    <s v="Winter"/>
    <x v="3"/>
    <s v="10 tn"/>
    <s v="Lima"/>
    <x v="9"/>
    <n v="4067.8"/>
    <n v="732.20399999999995"/>
    <n v="4800.00399999999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Carlos Davila"/>
    <s v="Roda Expess sac"/>
    <s v="E001-356"/>
    <d v="2026-01-11T00:00:00"/>
    <d v="2026-01-08T00:00:00"/>
    <s v="D7S943"/>
    <s v="Sonepar"/>
    <x v="0"/>
    <s v="7tn"/>
    <s v="Lima"/>
    <x v="0"/>
    <n v="4100"/>
    <n v="738"/>
    <n v="4838"/>
    <n v="194"/>
    <n v="4644"/>
    <n v="4644"/>
    <n v="0"/>
    <s v="Pagado"/>
    <m/>
    <m/>
  </r>
  <r>
    <s v="Carlos Davila"/>
    <s v="Roda Expess sac"/>
    <s v="E001-370"/>
    <d v="2026-01-28T00:00:00"/>
    <d v="2026-01-28T00:00:00"/>
    <s v="D7S943"/>
    <s v="Sonepar"/>
    <x v="0"/>
    <s v="7tn"/>
    <s v="Lima"/>
    <x v="1"/>
    <n v="4200"/>
    <n v="756"/>
    <n v="4956"/>
    <n v="199"/>
    <n v="0"/>
    <m/>
    <n v="0"/>
    <s v="Anulado"/>
    <s v="NC E001-29"/>
    <m/>
  </r>
  <r>
    <s v="Carlos Davila"/>
    <s v="Transportes Ccorimayo sac"/>
    <s v="E001-2050"/>
    <d v="2026-01-29T00:00:00"/>
    <d v="2026-01-29T00:00:00"/>
    <s v="AWE2050"/>
    <s v="Sonepar"/>
    <x v="1"/>
    <s v="15 tn"/>
    <s v="Lima"/>
    <x v="2"/>
    <n v="2800"/>
    <n v="504"/>
    <n v="3304"/>
    <n v="132"/>
    <n v="3172"/>
    <n v="3171"/>
    <n v="1"/>
    <s v="Pagado"/>
    <m/>
    <m/>
  </r>
  <r>
    <s v="Carlos Davila"/>
    <s v="Roda Expess sac"/>
    <s v="E001-373"/>
    <d v="2026-02-07T00:00:00"/>
    <d v="2026-01-28T00:00:00"/>
    <s v="D7S943"/>
    <s v="Sonepar"/>
    <x v="0"/>
    <s v="8tn"/>
    <s v="Lima"/>
    <x v="3"/>
    <n v="500"/>
    <n v="90"/>
    <n v="590"/>
    <n v="24"/>
    <n v="566"/>
    <n v="566"/>
    <n v="0"/>
    <s v="Pagado"/>
    <m/>
    <m/>
  </r>
  <r>
    <s v="Carlos Davila"/>
    <s v="Huaman Quispe Elvis"/>
    <s v="E001-59"/>
    <d v="2026-02-09T00:00:00"/>
    <d v="2026-02-09T00:00:00"/>
    <s v="ASD946"/>
    <s v="Sonepar"/>
    <x v="1"/>
    <s v="15 tn"/>
    <s v="Lima"/>
    <x v="4"/>
    <n v="4600"/>
    <n v="828"/>
    <n v="5428"/>
    <n v="218"/>
    <n v="5210"/>
    <n v="5210"/>
    <n v="0"/>
    <s v="Pagado"/>
    <m/>
    <m/>
  </r>
  <r>
    <s v="Carlos Davila"/>
    <s v="Huaman Quispe Elvis"/>
    <s v="E001-63"/>
    <d v="2026-03-02T00:00:00"/>
    <d v="2026-03-02T00:00:00"/>
    <s v="ASD946"/>
    <s v="Sonepar"/>
    <x v="1"/>
    <s v="15 tn"/>
    <s v="Lima"/>
    <x v="4"/>
    <n v="4600"/>
    <n v="828"/>
    <n v="5428"/>
    <n v="218"/>
    <n v="5210"/>
    <n v="5210"/>
    <n v="0"/>
    <s v="Pagado"/>
    <s v="Pagado"/>
    <s v="pendiente"/>
  </r>
  <r>
    <s v="Carlos Davila"/>
    <s v="Roda Expess sac"/>
    <s v="E001-386"/>
    <d v="2026-03-19T00:00:00"/>
    <d v="2026-03-19T00:00:00"/>
    <s v="AZP946"/>
    <s v="Vainsa"/>
    <x v="0"/>
    <s v="8tn"/>
    <s v="Lima"/>
    <x v="5"/>
    <n v="2500"/>
    <n v="450"/>
    <n v="2950"/>
    <n v="118"/>
    <n v="2832"/>
    <n v="2832"/>
    <n v="0"/>
    <s v="Pagado"/>
    <s v="Pagado"/>
    <n v="301536291"/>
  </r>
  <r>
    <s v="Carlos Davila"/>
    <s v="Huaman Quispe Elvis"/>
    <s v="E001-66"/>
    <d v="2026-03-21T00:00:00"/>
    <d v="2026-03-18T00:00:00"/>
    <s v="ASD946"/>
    <s v="Vainsa"/>
    <x v="1"/>
    <s v="15 tn"/>
    <s v="Lima"/>
    <x v="1"/>
    <n v="5000"/>
    <n v="900"/>
    <n v="5900"/>
    <n v="236"/>
    <n v="5664"/>
    <n v="5664"/>
    <n v="0"/>
    <s v="Pagado"/>
    <s v="Pagado"/>
    <n v="301590550"/>
  </r>
  <r>
    <s v="Carlos Davila"/>
    <s v="Roda Expess sac"/>
    <s v="E001-391"/>
    <d v="2026-03-27T00:00:00"/>
    <d v="2026-03-27T00:00:00"/>
    <s v="D7S943"/>
    <s v="Sonepar"/>
    <x v="0"/>
    <s v="8tn"/>
    <s v="Lima"/>
    <x v="2"/>
    <n v="2700"/>
    <n v="486"/>
    <n v="3186"/>
    <n v="128"/>
    <n v="3058"/>
    <n v="3058"/>
    <n v="0"/>
    <s v="Pagado"/>
    <s v="Pagado"/>
    <n v="301537008"/>
  </r>
  <r>
    <s v="Carlos Davila"/>
    <s v="Inversiones Kaylani sac"/>
    <s v="E001-42"/>
    <d v="2026-04-08T00:00:00"/>
    <d v="2026-04-08T00:00:00"/>
    <s v="BEH948"/>
    <s v="Sonepar"/>
    <x v="0"/>
    <s v="5 tn"/>
    <s v="Lima"/>
    <x v="0"/>
    <n v="4200"/>
    <n v="756"/>
    <n v="4956"/>
    <n v="198"/>
    <n v="4758"/>
    <n v="4758"/>
    <n v="0"/>
    <s v="Pagado"/>
    <s v="Pagado"/>
    <n v="303921767"/>
  </r>
  <r>
    <s v="Carlos Davila"/>
    <s v="Inversiones Kaylani sac"/>
    <s v="E001-44"/>
    <d v="2026-04-15T00:00:00"/>
    <d v="2026-04-10T00:00:00"/>
    <s v="BEH948"/>
    <s v="Sonepar"/>
    <x v="0"/>
    <s v="5 tn"/>
    <s v="Piura"/>
    <x v="6"/>
    <n v="350"/>
    <n v="63"/>
    <n v="413"/>
    <n v="17"/>
    <n v="396"/>
    <n v="396"/>
    <n v="0"/>
    <s v="Pagado"/>
    <s v="Pagado"/>
    <n v="303930251"/>
  </r>
  <r>
    <s v="Carlos Davila"/>
    <s v="Transportes Ccorimayo sac"/>
    <s v="E001-2067"/>
    <d v="2026-04-21T00:00:00"/>
    <d v="2026-04-21T00:00:00"/>
    <s v="BJI829"/>
    <s v="Winter"/>
    <x v="0"/>
    <s v="8tn"/>
    <s v="Lima"/>
    <x v="7"/>
    <n v="5300"/>
    <n v="954"/>
    <n v="6254"/>
    <n v="250"/>
    <n v="6004"/>
    <n v="6004"/>
    <n v="0"/>
    <s v="Pagado"/>
    <s v="Pagado"/>
    <n v="303926932"/>
  </r>
  <r>
    <s v="Carlos Davila"/>
    <s v="Inversiones K &amp; T"/>
    <s v="E001-209"/>
    <d v="2026-04-21T00:00:00"/>
    <d v="2026-04-21T00:00:00"/>
    <s v="BAD920"/>
    <s v="Vainsa"/>
    <x v="0"/>
    <s v="5 tn"/>
    <s v="Lima"/>
    <x v="1"/>
    <n v="4400"/>
    <n v="792"/>
    <n v="5192"/>
    <n v="208"/>
    <n v="4984"/>
    <n v="4984"/>
    <n v="0"/>
    <s v="Pagado"/>
    <s v="Pagado"/>
    <n v="303930637"/>
  </r>
  <r>
    <s v="Carlos Davila"/>
    <s v="Roda Expess sac"/>
    <s v="E001-398"/>
    <d v="2026-04-22T00:00:00"/>
    <d v="2026-04-21T00:00:00"/>
    <s v="BZQ718"/>
    <s v="Winter"/>
    <x v="0"/>
    <s v="5 tn"/>
    <s v="Lima"/>
    <x v="2"/>
    <n v="2600"/>
    <n v="468"/>
    <n v="3068"/>
    <n v="123"/>
    <n v="2945"/>
    <n v="2945"/>
    <n v="0"/>
    <s v="Pagado"/>
    <s v="Pagado"/>
    <n v="303922307"/>
  </r>
  <r>
    <s v="Carlos Davila"/>
    <s v="Roda Expess sac"/>
    <s v="E001-399"/>
    <d v="2026-04-23T00:00:00"/>
    <d v="2026-04-22T00:00:00"/>
    <s v="AZP946"/>
    <s v="Vainsa"/>
    <x v="0"/>
    <s v="6 tn"/>
    <s v="Lima"/>
    <x v="8"/>
    <n v="3400"/>
    <n v="612"/>
    <n v="4012"/>
    <n v="161"/>
    <n v="3851"/>
    <n v="3851"/>
    <n v="0"/>
    <s v="Pagado"/>
    <s v="Pagado"/>
    <n v="303926763"/>
  </r>
  <r>
    <s v="Carlos Davila"/>
    <s v="Roda Expess sac"/>
    <s v="E001-400"/>
    <d v="2026-04-23T00:00:00"/>
    <d v="2026-04-22T00:00:00"/>
    <s v="D7S943"/>
    <s v="Winter"/>
    <x v="0"/>
    <s v="7 tn"/>
    <s v="Lima"/>
    <x v="1"/>
    <n v="4800"/>
    <n v="864"/>
    <n v="5664"/>
    <n v="227"/>
    <n v="5437"/>
    <n v="5437"/>
    <n v="0"/>
    <s v="Pagado"/>
    <s v="Pagado"/>
    <n v="303928617"/>
  </r>
  <r>
    <s v="Carlos Davila"/>
    <s v="Transporte Aimar cargo sac"/>
    <s v="E001-285"/>
    <d v="2026-04-23T00:00:00"/>
    <d v="2026-04-22T00:00:00"/>
    <s v="BKK847"/>
    <s v="Winter"/>
    <x v="1"/>
    <s v="11 tn"/>
    <s v="Lima"/>
    <x v="9"/>
    <n v="4000"/>
    <n v="720"/>
    <n v="4720"/>
    <n v="189"/>
    <n v="4531"/>
    <n v="4531"/>
    <n v="0"/>
    <s v="Pagado"/>
    <s v="Pagado"/>
    <n v="303923284"/>
  </r>
  <r>
    <s v="Marne Inversiones SAC"/>
    <s v="Marne Inversiones SAC"/>
    <s v="F001-412"/>
    <d v="2026-04-27T00:00:00"/>
    <d v="2026-04-27T00:00:00"/>
    <m/>
    <s v="Winter"/>
    <x v="2"/>
    <m/>
    <s v="Lima"/>
    <x v="7"/>
    <n v="6000"/>
    <n v="1080"/>
    <n v="7080"/>
    <n v="283"/>
    <n v="6797"/>
    <n v="6797"/>
    <n v="0"/>
    <s v="Pagado"/>
    <s v="Pagado"/>
    <n v="304010668"/>
  </r>
  <r>
    <s v="Carlos Davila"/>
    <s v="Roda Expess sac"/>
    <s v="E001-402"/>
    <d v="2026-04-30T00:00:00"/>
    <d v="2026-04-30T00:00:00"/>
    <s v="AZP946"/>
    <s v="Winter"/>
    <x v="0"/>
    <s v="8 tn"/>
    <s v="Lima"/>
    <x v="4"/>
    <n v="4700"/>
    <n v="846"/>
    <n v="5546"/>
    <n v="221"/>
    <n v="5325"/>
    <n v="5325"/>
    <n v="0"/>
    <s v="Pagado"/>
    <s v="Pagado"/>
    <n v="303918813"/>
  </r>
  <r>
    <s v="Plataforma"/>
    <s v="JVC Transport &amp; Services sac"/>
    <s v="E001-9276"/>
    <d v="2026-04-30T00:00:00"/>
    <d v="2026-04-30T00:00:00"/>
    <m/>
    <s v="Sonepar"/>
    <x v="2"/>
    <s v="15 tn"/>
    <s v="Lima"/>
    <x v="10"/>
    <n v="1025"/>
    <n v="184.5"/>
    <n v="1209.5"/>
    <n v="48.38"/>
    <n v="1161.1199999999999"/>
    <n v="1161.1199999999999"/>
    <n v="0"/>
    <s v="Pagado"/>
    <s v="Pagado"/>
    <n v="303922948"/>
  </r>
  <r>
    <s v="Joel "/>
    <s v="Corporacion dyj Rusal sac"/>
    <s v="E001-78"/>
    <d v="2026-04-30T00:00:00"/>
    <d v="2026-04-29T00:00:00"/>
    <s v="T9K915"/>
    <s v="Vainsa"/>
    <x v="1"/>
    <s v="15 tn"/>
    <s v="Lima"/>
    <x v="1"/>
    <n v="5932.2"/>
    <n v="1067.7959999999998"/>
    <n v="6999.9959999999992"/>
    <n v="279.99983999999995"/>
    <n v="6719.9961599999988"/>
    <n v="6720"/>
    <n v="-3.8400000012188684E-3"/>
    <s v="Pagado"/>
    <s v="Pagado"/>
    <n v="303920307"/>
  </r>
  <r>
    <s v="Joel "/>
    <s v="Inversiones generales Rusilsan"/>
    <s v="E001-616"/>
    <d v="2026-04-30T00:00:00"/>
    <d v="2026-04-30T00:00:00"/>
    <s v="BZK725"/>
    <s v="Winter"/>
    <x v="3"/>
    <s v="10 tn"/>
    <s v="Lima"/>
    <x v="9"/>
    <n v="4067.8"/>
    <n v="732.20399999999995"/>
    <n v="4800.0039999999999"/>
    <n v="192.00015999999999"/>
    <n v="4608.0038400000003"/>
    <n v="4608"/>
    <n v="3.8400000003093737E-3"/>
    <s v="Pagado"/>
    <s v="Pagado"/>
    <n v="303921989"/>
  </r>
  <r>
    <s v="Carlos Davila"/>
    <s v="Transportes Ccorimayo sac"/>
    <s v="E001-2074"/>
    <d v="2026-05-05T00:00:00"/>
    <d v="2026-05-05T00:00:00"/>
    <s v="BJI829"/>
    <s v="Vainsa"/>
    <x v="2"/>
    <m/>
    <s v="Lima"/>
    <x v="11"/>
    <n v="3400"/>
    <n v="612"/>
    <n v="4012"/>
    <n v="160"/>
    <n v="3852"/>
    <n v="3852"/>
    <n v="0"/>
    <s v="Pagado"/>
    <s v="Pendiente"/>
    <m/>
  </r>
  <r>
    <s v="Carlos Davila"/>
    <s v="Inversiones Kaylani sac"/>
    <s v="E0001-51"/>
    <d v="2026-05-04T00:00:00"/>
    <d v="2026-05-04T00:00:00"/>
    <s v="BEH948"/>
    <s v="Winter"/>
    <x v="2"/>
    <m/>
    <s v="Lima"/>
    <x v="12"/>
    <n v="2800"/>
    <n v="504"/>
    <n v="3304"/>
    <n v="132"/>
    <n v="3172"/>
    <n v="3172"/>
    <n v="0"/>
    <s v="Pagado"/>
    <s v="Pendiente"/>
    <m/>
  </r>
  <r>
    <s v="Carlos Davila"/>
    <s v="Inversiones Kaylani sac"/>
    <s v="E0001-52"/>
    <d v="2026-05-06T00:00:00"/>
    <d v="2026-05-04T00:00:00"/>
    <s v="BEH948"/>
    <s v="Winter"/>
    <x v="2"/>
    <m/>
    <s v="Lima"/>
    <x v="13"/>
    <n v="600"/>
    <n v="108"/>
    <n v="708"/>
    <n v="28"/>
    <n v="680"/>
    <n v="680"/>
    <n v="0"/>
    <s v="Pagado"/>
    <s v="Pendiente"/>
    <m/>
  </r>
  <r>
    <s v="Carlos Davila"/>
    <s v="Transporte Viyaexpres sac"/>
    <s v="E001-138"/>
    <d v="2026-05-04T00:00:00"/>
    <d v="2026-05-04T00:00:00"/>
    <s v="BAD920"/>
    <s v="Winter"/>
    <x v="2"/>
    <m/>
    <s v="Lima"/>
    <x v="14"/>
    <n v="2200"/>
    <n v="396"/>
    <n v="2596"/>
    <n v="104"/>
    <n v="2492"/>
    <n v="2492"/>
    <n v="0"/>
    <s v="Pagado"/>
    <s v="Pendiente"/>
    <m/>
  </r>
  <r>
    <s v="Carlos Davila"/>
    <s v="Transporte Aimar cargo sac"/>
    <s v="E001-291"/>
    <d v="2026-05-03T00:00:00"/>
    <d v="2026-05-02T00:00:00"/>
    <s v="AXT917"/>
    <s v="Winter"/>
    <x v="2"/>
    <m/>
    <s v="Lima"/>
    <x v="15"/>
    <n v="7000"/>
    <n v="1260"/>
    <n v="8260"/>
    <n v="331"/>
    <n v="7929"/>
    <n v="7929"/>
    <n v="0"/>
    <s v="Pagado"/>
    <s v="Pendiente"/>
    <m/>
  </r>
  <r>
    <s v="Carlos Davila"/>
    <s v="Heavy Truck Corporation sac"/>
    <s v="E001-522"/>
    <d v="2026-05-05T00:00:00"/>
    <d v="2026-05-05T00:00:00"/>
    <s v="AVE825"/>
    <s v="Winter"/>
    <x v="2"/>
    <m/>
    <s v="Lima"/>
    <x v="16"/>
    <n v="7000"/>
    <n v="1260"/>
    <n v="8260"/>
    <n v="331"/>
    <n v="7929"/>
    <n v="7929"/>
    <n v="0"/>
    <s v="Pagado"/>
    <s v="Pendiente"/>
    <m/>
  </r>
  <r>
    <s v="Joel "/>
    <s v="Inversiones generales Ruvilsan"/>
    <s v="E001-618"/>
    <d v="2026-05-04T00:00:00"/>
    <d v="2026-05-02T00:00:00"/>
    <s v="BZK726"/>
    <s v="Sonepar"/>
    <x v="2"/>
    <m/>
    <s v="Lima"/>
    <x v="2"/>
    <n v="3389.83"/>
    <n v="610.1694"/>
    <n v="3999.9993999999997"/>
    <n v="159.999976"/>
    <n v="3839.9994239999996"/>
    <n v="3840"/>
    <n v="-5.760000003647292E-4"/>
    <s v="Pagado"/>
    <s v="Pendiente"/>
    <m/>
  </r>
  <r>
    <s v="Joel "/>
    <s v="Corporacion DYJ Rusal "/>
    <s v="E001-79"/>
    <d v="2026-05-05T00:00:00"/>
    <m/>
    <s v="T9K915"/>
    <s v="Winter"/>
    <x v="2"/>
    <m/>
    <s v="Lima"/>
    <x v="2"/>
    <n v="3500"/>
    <n v="630"/>
    <n v="4130"/>
    <n v="165"/>
    <n v="3965"/>
    <n v="3965"/>
    <n v="0"/>
    <s v="Pagado"/>
    <s v="Pendiente"/>
    <m/>
  </r>
  <r>
    <s v="Joel "/>
    <s v="Inversiones generales Ruvilsan"/>
    <s v="E001-622"/>
    <d v="2026-05-05T00:00:00"/>
    <m/>
    <s v="TBV918"/>
    <s v="Winter"/>
    <x v="2"/>
    <m/>
    <s v="Lima"/>
    <x v="17"/>
    <n v="2966.1"/>
    <n v="533.89799999999991"/>
    <n v="3499.9979999999996"/>
    <n v="139.99991999999997"/>
    <n v="3359.9980799999994"/>
    <n v="3360"/>
    <n v="-1.9200000006094342E-3"/>
    <s v="Pagado"/>
    <s v="Pendiente"/>
    <m/>
  </r>
  <r>
    <s v="Joel "/>
    <s v="Inversiones generales Ruvilsan"/>
    <s v="E001-623"/>
    <d v="2026-05-05T00:00:00"/>
    <m/>
    <s v="TFG886"/>
    <s v="Winter"/>
    <x v="2"/>
    <m/>
    <s v="Lima"/>
    <x v="18"/>
    <n v="7203.39"/>
    <n v="1296.6102000000001"/>
    <n v="8500.0002000000004"/>
    <n v="340.00000800000004"/>
    <n v="8160.0001920000004"/>
    <n v="8160"/>
    <n v="1.920000004247413E-4"/>
    <s v="Pagado"/>
    <s v="Pendiente"/>
    <m/>
  </r>
  <r>
    <s v="rey de las curvas"/>
    <s v="Antonio Quispe Wilber"/>
    <m/>
    <m/>
    <d v="2026-05-02T00:00:00"/>
    <s v="CBV888"/>
    <s v="Winter"/>
    <x v="2"/>
    <m/>
    <s v="Lima"/>
    <x v="19"/>
    <n v="4500"/>
    <n v="810"/>
    <n v="5310"/>
    <n v="213"/>
    <n v="5097"/>
    <m/>
    <n v="5097"/>
    <s v="Pendiente"/>
    <s v="Pendiente"/>
    <m/>
  </r>
  <r>
    <s v="Carlos Davila"/>
    <s v="Corporacion Ple SAC"/>
    <s v="E001-321"/>
    <d v="2026-05-07T00:00:00"/>
    <d v="2026-05-05T00:00:00"/>
    <s v="ASD892"/>
    <s v="Vainsa"/>
    <x v="4"/>
    <s v="5 tn"/>
    <s v="Lima"/>
    <x v="20"/>
    <n v="2100"/>
    <n v="378"/>
    <n v="2478"/>
    <n v="99"/>
    <n v="2379"/>
    <n v="2378.88"/>
    <n v="0.11999999999989086"/>
    <s v="Pagado"/>
    <s v="Pendiente"/>
    <m/>
  </r>
  <r>
    <s v="Joel "/>
    <s v="Inversiones generales Ruvilsan"/>
    <s v="E001-624"/>
    <d v="2026-05-08T00:00:00"/>
    <m/>
    <s v="BZK926"/>
    <s v="Winter"/>
    <x v="2"/>
    <m/>
    <s v="Lima"/>
    <x v="2"/>
    <n v="3389.83"/>
    <n v="610.1694"/>
    <n v="3999.9993999999997"/>
    <n v="159.999976"/>
    <n v="3839.9994239999996"/>
    <n v="3840"/>
    <n v="-5.760000003647292E-4"/>
    <s v="Pagado"/>
    <s v="Pendiente"/>
    <m/>
  </r>
  <r>
    <s v="Carlos Davila"/>
    <s v="Roda Expess sac"/>
    <s v="E001-404"/>
    <d v="2026-05-09T00:00:00"/>
    <d v="2026-05-06T00:00:00"/>
    <s v="D7S943"/>
    <s v="Winter"/>
    <x v="0"/>
    <s v="5tn"/>
    <s v="Lima"/>
    <x v="21"/>
    <n v="2600"/>
    <n v="468"/>
    <n v="3068"/>
    <n v="123"/>
    <n v="2945"/>
    <n v="2945"/>
    <n v="0"/>
    <s v="Pagado"/>
    <s v="Pendiente"/>
    <m/>
  </r>
  <r>
    <s v="Carlos Davila"/>
    <s v="Transportes Ccorimayo sac"/>
    <s v="E001-2076"/>
    <d v="2026-05-09T00:00:00"/>
    <d v="2026-05-09T00:00:00"/>
    <s v="BBD739"/>
    <s v="Winter"/>
    <x v="5"/>
    <s v="12tn"/>
    <s v="Lima"/>
    <x v="4"/>
    <n v="5400"/>
    <n v="972"/>
    <n v="6372"/>
    <n v="255"/>
    <n v="6117"/>
    <n v="6117"/>
    <n v="0"/>
    <s v="Pagado"/>
    <s v="Pendiente"/>
    <m/>
  </r>
  <r>
    <s v="Carlos Davila"/>
    <s v="Roda Expess sac"/>
    <s v="E001-405"/>
    <d v="2026-05-09T00:00:00"/>
    <d v="2026-05-09T00:00:00"/>
    <s v="D7S943"/>
    <s v="Winter"/>
    <x v="0"/>
    <s v="6tn"/>
    <s v="Lima"/>
    <x v="4"/>
    <n v="4700"/>
    <n v="846"/>
    <n v="5546"/>
    <n v="222"/>
    <n v="5324"/>
    <n v="5324"/>
    <n v="0"/>
    <s v="Pagado"/>
    <s v="Pendiente"/>
    <m/>
  </r>
  <r>
    <s v="Carlos Davila"/>
    <s v="Huaman Quispe Wilder"/>
    <s v="E001-223"/>
    <d v="2026-05-09T00:00:00"/>
    <d v="2026-05-09T00:00:00"/>
    <s v="BAD920"/>
    <s v="Winter"/>
    <x v="0"/>
    <s v="7tn"/>
    <s v="Lima"/>
    <x v="2"/>
    <n v="2700"/>
    <n v="486"/>
    <n v="3186"/>
    <n v="128"/>
    <n v="3058"/>
    <n v="3058"/>
    <n v="0"/>
    <s v="Pagado"/>
    <s v="Pendiente"/>
    <m/>
  </r>
  <r>
    <s v="rey de las curvas"/>
    <s v="Antonio Quispe Wilber"/>
    <s v="E001-49"/>
    <d v="2026-05-04T00:00:00"/>
    <d v="2026-05-04T00:00:00"/>
    <s v="CBV888"/>
    <s v="varios"/>
    <x v="6"/>
    <s v="-"/>
    <s v="Lima"/>
    <x v="22"/>
    <n v="5300"/>
    <n v="954"/>
    <n v="6254"/>
    <n v="251"/>
    <n v="6003"/>
    <n v="6003"/>
    <n v="0"/>
    <s v="Pagado"/>
    <s v="Pendiente"/>
    <m/>
  </r>
  <r>
    <s v="Plataforma"/>
    <s v="JVC Transport &amp; Services sac"/>
    <s v="E001-9318"/>
    <d v="2026-05-11T00:00:00"/>
    <d v="2026-05-11T00:00:00"/>
    <m/>
    <s v="Sonepar"/>
    <x v="6"/>
    <s v="-"/>
    <s v="Lima"/>
    <x v="10"/>
    <n v="1000"/>
    <n v="180"/>
    <n v="1180"/>
    <n v="47"/>
    <n v="1133"/>
    <n v="1133"/>
    <n v="0"/>
    <s v="Pagado"/>
    <s v="Pendiente"/>
    <m/>
  </r>
  <r>
    <s v="Carlos Davila"/>
    <s v="Corporacion Ple SAC"/>
    <s v="E001-324"/>
    <d v="2026-05-12T00:00:00"/>
    <d v="2026-05-12T00:00:00"/>
    <s v="ARG901"/>
    <s v="Sonepar"/>
    <x v="2"/>
    <m/>
    <s v="Lima"/>
    <x v="4"/>
    <n v="4700"/>
    <n v="846"/>
    <n v="5546"/>
    <n v="222"/>
    <n v="5324"/>
    <n v="5324"/>
    <n v="0"/>
    <s v="Pagado"/>
    <s v="Pendiente"/>
    <m/>
  </r>
  <r>
    <s v="Carlos Davila"/>
    <s v="Corporacion Ple SAC"/>
    <s v="E001-325"/>
    <d v="2026-05-12T00:00:00"/>
    <d v="2026-05-12T00:00:00"/>
    <s v="ASD892"/>
    <s v="Winter"/>
    <x v="2"/>
    <m/>
    <s v="Lima"/>
    <x v="4"/>
    <n v="4700"/>
    <n v="846"/>
    <n v="5546"/>
    <n v="222"/>
    <n v="5324"/>
    <n v="5324"/>
    <n v="0"/>
    <s v="Pagado"/>
    <s v="Pendiente"/>
    <m/>
  </r>
  <r>
    <s v="Carlos Davila"/>
    <s v="Roda Expess sac"/>
    <s v="E001-406"/>
    <d v="2026-05-12T00:00:00"/>
    <d v="2026-05-11T00:00:00"/>
    <s v="AZP946"/>
    <s v="Winter"/>
    <x v="2"/>
    <m/>
    <s v="Lima"/>
    <x v="7"/>
    <n v="5600"/>
    <n v="1008"/>
    <n v="6608"/>
    <n v="265"/>
    <n v="6343"/>
    <n v="3000"/>
    <n v="3343"/>
    <s v="Pendiente"/>
    <s v="Pendiente"/>
    <m/>
  </r>
  <r>
    <s v="Carlos Davila"/>
    <s v="Transporte Viyaexpres sac"/>
    <s v="E001-149"/>
    <d v="2026-05-13T00:00:00"/>
    <d v="2026-05-13T00:00:00"/>
    <s v="AYQ776"/>
    <s v="Winter"/>
    <x v="2"/>
    <m/>
    <s v="Lima"/>
    <x v="16"/>
    <n v="7000"/>
    <n v="1260"/>
    <n v="8260"/>
    <n v="331"/>
    <n v="7929"/>
    <n v="7929"/>
    <n v="0"/>
    <s v="Pagado"/>
    <s v="Pendiente"/>
    <m/>
  </r>
  <r>
    <s v="Carlos Davila"/>
    <s v="Transporte Viyaexpres sac"/>
    <s v="E001-152"/>
    <d v="2026-05-15T00:00:00"/>
    <d v="2026-05-15T00:00:00"/>
    <s v="BYQ837"/>
    <s v="Sonepar"/>
    <x v="0"/>
    <s v="7tn"/>
    <s v="Lima"/>
    <x v="2"/>
    <n v="2700"/>
    <n v="486"/>
    <n v="3186"/>
    <n v="128"/>
    <n v="3058"/>
    <n v="3058"/>
    <n v="0"/>
    <s v="Pagado"/>
    <s v="Pendiente"/>
    <m/>
  </r>
  <r>
    <s v="Carlos Davila"/>
    <s v="Roda Expess sac"/>
    <s v="E001-409"/>
    <d v="2026-05-17T00:00:00"/>
    <d v="2026-05-16T00:00:00"/>
    <s v="D7S943"/>
    <s v="Winter"/>
    <x v="0"/>
    <s v="5tn"/>
    <s v="Lima"/>
    <x v="23"/>
    <n v="5200"/>
    <n v="936"/>
    <n v="6136"/>
    <n v="246"/>
    <n v="5890"/>
    <n v="2000"/>
    <n v="3890"/>
    <s v="Pendiente"/>
    <s v="Pendiente"/>
    <m/>
  </r>
  <r>
    <s v="Joel "/>
    <s v="Inversiones generales Ruvilsan"/>
    <s v="E001-627"/>
    <d v="2026-05-18T00:00:00"/>
    <d v="2026-05-18T00:00:00"/>
    <s v="BZK725"/>
    <s v="Winter"/>
    <x v="2"/>
    <m/>
    <s v="Lima"/>
    <x v="24"/>
    <n v="5593.22"/>
    <n v="1006.7796"/>
    <n v="6599.9996000000001"/>
    <n v="263.99998399999998"/>
    <n v="6335.9996160000001"/>
    <n v="6336"/>
    <n v="-3.839999999399879E-4"/>
    <s v="Pagado"/>
    <s v="Pendiente"/>
    <m/>
  </r>
  <r>
    <s v="Carlos Davila"/>
    <s v="Huaman Quispe Elvis"/>
    <s v="E001-83"/>
    <d v="2026-05-19T00:00:00"/>
    <d v="2026-05-18T00:00:00"/>
    <s v="H2C888"/>
    <s v="Winter"/>
    <x v="7"/>
    <s v="9.5TN"/>
    <s v="Lima"/>
    <x v="4"/>
    <n v="5300"/>
    <n v="954"/>
    <n v="6254"/>
    <n v="251"/>
    <n v="6003"/>
    <n v="2000"/>
    <n v="4003"/>
    <s v="Pendiente"/>
    <s v="Pendiente"/>
    <m/>
  </r>
  <r>
    <s v="Carlos Davila"/>
    <s v="Roda Expess sac"/>
    <s v="e001-410"/>
    <d v="2026-05-20T00:00:00"/>
    <d v="2026-05-18T00:00:00"/>
    <s v="AZP946"/>
    <s v="Winter"/>
    <x v="0"/>
    <s v="7tn"/>
    <s v="Lima"/>
    <x v="25"/>
    <n v="4200"/>
    <n v="756"/>
    <n v="4956"/>
    <n v="199"/>
    <n v="4757"/>
    <n v="1500"/>
    <n v="3257"/>
    <s v="Pendiente"/>
    <s v="Pendiente"/>
    <m/>
  </r>
  <r>
    <s v="Carlos Davila"/>
    <s v="Huaman Quispe Elvis"/>
    <s v="E001-84"/>
    <d v="2026-05-20T00:00:00"/>
    <d v="2026-05-20T00:00:00"/>
    <s v="ASD946"/>
    <s v="Winter"/>
    <x v="5"/>
    <s v="12TTN"/>
    <s v="Lima"/>
    <x v="7"/>
    <n v="6600"/>
    <n v="1188"/>
    <n v="7788"/>
    <n v="311.52"/>
    <n v="7476.48"/>
    <n v="3000"/>
    <n v="4476.4799999999996"/>
    <s v="Pendiente"/>
    <s v="Pendiente"/>
    <m/>
  </r>
  <r>
    <m/>
    <m/>
    <m/>
    <m/>
    <m/>
    <m/>
    <m/>
    <x v="2"/>
    <m/>
    <m/>
    <x v="2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ED7CD-274F-4F99-A960-8FCC133B7AC0}" name="TablaDiná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3:F36" firstHeaderRow="1" firstDataRow="2" firstDataCol="1"/>
  <pivotFields count="14">
    <pivotField showAll="0"/>
    <pivotField showAll="0"/>
    <pivotField showAll="0"/>
    <pivotField numFmtId="16" showAll="0"/>
    <pivotField numFmtId="16" showAll="0"/>
    <pivotField showAll="0"/>
    <pivotField showAll="0"/>
    <pivotField axis="axisCol" dataField="1" showAll="0">
      <items count="6">
        <item m="1" x="4"/>
        <item x="0"/>
        <item x="3"/>
        <item x="1"/>
        <item x="2"/>
        <item t="default"/>
      </items>
    </pivotField>
    <pivotField showAll="0"/>
    <pivotField showAll="0"/>
    <pivotField axis="axisRow" showAll="0">
      <items count="13">
        <item x="1"/>
        <item x="9"/>
        <item m="1" x="11"/>
        <item x="5"/>
        <item x="4"/>
        <item x="6"/>
        <item x="7"/>
        <item x="2"/>
        <item x="8"/>
        <item x="0"/>
        <item x="3"/>
        <item x="10"/>
        <item t="default"/>
      </items>
    </pivotField>
    <pivotField numFmtId="44" showAll="0"/>
    <pivotField numFmtId="44" showAll="0"/>
    <pivotField numFmtId="44" showAll="0"/>
  </pivotFields>
  <rowFields count="1">
    <field x="10"/>
  </rowFields>
  <rowItems count="12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7"/>
  </colFields>
  <colItems count="5">
    <i>
      <x v="1"/>
    </i>
    <i>
      <x v="2"/>
    </i>
    <i>
      <x v="3"/>
    </i>
    <i>
      <x v="4"/>
    </i>
    <i t="grand">
      <x/>
    </i>
  </colItems>
  <dataFields count="1">
    <dataField name="Cuenta de m3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A2211-859F-43A9-92B9-5DF5371772D3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44" showAll="0"/>
    <pivotField dataField="1" numFmtId="44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Flete Total" fld="1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CED0A-34B0-4020-B2FD-9F7223189DC8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G19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numFmtId="44" showAll="0"/>
    <pivotField dataField="1" numFmtId="44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Flete Total" fld="1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64504-C2CD-4DEB-90D9-2C6193738BA4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20" firstHeaderRow="1" firstDataRow="1" firstDataCol="1"/>
  <pivotFields count="23">
    <pivotField showAll="0"/>
    <pivotField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9"/>
        <item x="17"/>
        <item x="16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20"/>
        <item t="default"/>
      </items>
    </pivotField>
    <pivotField showAll="0">
      <items count="29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4"/>
        <item x="13"/>
        <item x="17"/>
        <item x="16"/>
        <item x="15"/>
        <item x="19"/>
        <item x="20"/>
        <item x="21"/>
        <item x="22"/>
        <item x="23"/>
        <item x="24"/>
        <item x="25"/>
        <item x="26"/>
        <item x="27"/>
        <item x="18"/>
        <item t="default"/>
      </items>
    </pivotField>
    <pivotField showAll="0"/>
    <pivotField axis="axisRow" showAll="0">
      <items count="6">
        <item x="0"/>
        <item x="1"/>
        <item x="3"/>
        <item x="2"/>
        <item m="1" x="4"/>
        <item t="default"/>
      </items>
    </pivotField>
    <pivotField showAll="0"/>
    <pivotField showAll="0"/>
    <pivotField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showAll="0"/>
    <pivotField numFmtId="44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6"/>
    <field x="22"/>
    <field x="21"/>
    <field x="3"/>
  </rowFields>
  <rowItems count="17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3"/>
    </i>
    <i r="1">
      <x v="4"/>
    </i>
    <i r="1">
      <x v="5"/>
    </i>
    <i>
      <x v="2"/>
    </i>
    <i r="1">
      <x v="5"/>
    </i>
    <i>
      <x v="3"/>
    </i>
    <i r="1">
      <x/>
    </i>
    <i r="1">
      <x v="4"/>
    </i>
    <i r="1">
      <x v="5"/>
    </i>
    <i t="grand">
      <x/>
    </i>
  </rowItems>
  <colItems count="1">
    <i/>
  </colItems>
  <dataFields count="1">
    <dataField name="Suma de Flete Total Bruto" fld="13" baseField="0" baseItem="0" numFmtId="44"/>
  </dataFields>
  <formats count="8">
    <format dxfId="7">
      <pivotArea dataOnly="0" fieldPosition="0">
        <references count="1">
          <reference field="6" count="1">
            <x v="0"/>
          </reference>
        </references>
      </pivotArea>
    </format>
    <format dxfId="6">
      <pivotArea collapsedLevelsAreSubtotals="1" fieldPosition="0">
        <references count="1">
          <reference field="6" count="1">
            <x v="1"/>
          </reference>
        </references>
      </pivotArea>
    </format>
    <format dxfId="5">
      <pivotArea dataOnly="0" labelOnly="1" fieldPosition="0">
        <references count="1">
          <reference field="6" count="1">
            <x v="1"/>
          </reference>
        </references>
      </pivotArea>
    </format>
    <format dxfId="4">
      <pivotArea collapsedLevelsAreSubtotals="1" fieldPosition="0">
        <references count="1">
          <reference field="6" count="1">
            <x v="2"/>
          </reference>
        </references>
      </pivotArea>
    </format>
    <format dxfId="3">
      <pivotArea dataOnly="0" labelOnly="1" fieldPosition="0">
        <references count="1">
          <reference field="6" count="1">
            <x v="2"/>
          </reference>
        </references>
      </pivotArea>
    </format>
    <format dxfId="2">
      <pivotArea collapsedLevelsAreSubtotals="1" fieldPosition="0">
        <references count="1">
          <reference field="6" count="1">
            <x v="3"/>
          </reference>
        </references>
      </pivotArea>
    </format>
    <format dxfId="1">
      <pivotArea dataOnly="0" labelOnly="1" fieldPosition="0">
        <references count="1">
          <reference field="6" count="1">
            <x v="3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63A6E-A2EF-47C5-AEC5-FAF3D71302F0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21"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showAll="0"/>
    <pivotField numFmtId="44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Flete Total Bruto" fld="1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A026E-C835-4325-9D73-806EEE8944EA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N16" firstHeaderRow="1" firstDataRow="2" firstDataCol="1"/>
  <pivotFields count="14">
    <pivotField showAll="0"/>
    <pivotField showAll="0"/>
    <pivotField showAll="0"/>
    <pivotField numFmtId="16" showAll="0"/>
    <pivotField numFmtId="16" showAll="0"/>
    <pivotField showAll="0"/>
    <pivotField showAll="0"/>
    <pivotField axis="axisCol" dataField="1" showAll="0">
      <items count="6">
        <item m="1" x="4"/>
        <item x="0"/>
        <item x="3"/>
        <item x="1"/>
        <item x="2"/>
        <item t="default"/>
      </items>
    </pivotField>
    <pivotField showAll="0"/>
    <pivotField showAll="0"/>
    <pivotField axis="axisRow" showAll="0">
      <items count="13">
        <item x="1"/>
        <item x="9"/>
        <item m="1" x="11"/>
        <item x="5"/>
        <item x="4"/>
        <item x="6"/>
        <item x="7"/>
        <item x="2"/>
        <item x="8"/>
        <item x="0"/>
        <item x="3"/>
        <item x="10"/>
        <item t="default"/>
      </items>
    </pivotField>
    <pivotField numFmtId="44" showAll="0"/>
    <pivotField numFmtId="44" showAll="0"/>
    <pivotField numFmtId="44" showAll="0"/>
  </pivotFields>
  <rowFields count="1">
    <field x="10"/>
  </rowFields>
  <rowItems count="12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7"/>
  </colFields>
  <colItems count="5">
    <i>
      <x v="1"/>
    </i>
    <i>
      <x v="2"/>
    </i>
    <i>
      <x v="3"/>
    </i>
    <i>
      <x v="4"/>
    </i>
    <i t="grand">
      <x/>
    </i>
  </colItems>
  <dataFields count="1">
    <dataField name="Cuenta de m3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A5F57-87A6-4F91-A4DB-18931A39D3FF}" name="TablaDinámica8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32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6"/>
        <item x="4"/>
        <item x="0"/>
        <item x="3"/>
        <item x="7"/>
        <item x="5"/>
        <item x="1"/>
        <item x="2"/>
        <item t="default"/>
      </items>
    </pivotField>
    <pivotField showAll="0"/>
    <pivotField showAll="0"/>
    <pivotField axis="axisRow" showAll="0">
      <items count="28">
        <item x="15"/>
        <item x="23"/>
        <item x="1"/>
        <item x="25"/>
        <item x="12"/>
        <item x="9"/>
        <item x="20"/>
        <item x="13"/>
        <item x="21"/>
        <item x="24"/>
        <item x="5"/>
        <item x="16"/>
        <item x="3"/>
        <item x="10"/>
        <item x="17"/>
        <item x="4"/>
        <item x="18"/>
        <item x="6"/>
        <item x="7"/>
        <item x="2"/>
        <item x="11"/>
        <item x="8"/>
        <item x="0"/>
        <item x="19"/>
        <item x="22"/>
        <item x="14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-plataformaunica.sunat.gob.pe/app/recaudacion/tributaria/internet/html/carrito.html" TargetMode="External"/><Relationship Id="rId13" Type="http://schemas.openxmlformats.org/officeDocument/2006/relationships/hyperlink" Target="https://e-plataformaunica.sunat.gob.pe/app/recaudacion/tributaria/internet/html/carrito.html" TargetMode="External"/><Relationship Id="rId3" Type="http://schemas.openxmlformats.org/officeDocument/2006/relationships/hyperlink" Target="https://e-plataformaunica.sunat.gob.pe/app/recaudacion/tributaria/internet/html/carrito.html" TargetMode="External"/><Relationship Id="rId7" Type="http://schemas.openxmlformats.org/officeDocument/2006/relationships/hyperlink" Target="https://e-plataformaunica.sunat.gob.pe/app/recaudacion/tributaria/internet/html/carrito.html" TargetMode="External"/><Relationship Id="rId12" Type="http://schemas.openxmlformats.org/officeDocument/2006/relationships/hyperlink" Target="https://e-plataformaunica.sunat.gob.pe/app/recaudacion/tributaria/internet/html/carrito.html" TargetMode="External"/><Relationship Id="rId2" Type="http://schemas.openxmlformats.org/officeDocument/2006/relationships/hyperlink" Target="https://e-plataformaunica.sunat.gob.pe/app/recaudacion/tributaria/internet/html/carrito.html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e-plataformaunica.sunat.gob.pe/app/recaudacion/tributaria/internet/html/carrito.html" TargetMode="External"/><Relationship Id="rId6" Type="http://schemas.openxmlformats.org/officeDocument/2006/relationships/hyperlink" Target="https://e-plataformaunica.sunat.gob.pe/app/recaudacion/tributaria/internet/html/carrito.html" TargetMode="External"/><Relationship Id="rId11" Type="http://schemas.openxmlformats.org/officeDocument/2006/relationships/hyperlink" Target="https://e-plataformaunica.sunat.gob.pe/app/recaudacion/tributaria/internet/html/carrito.html" TargetMode="External"/><Relationship Id="rId5" Type="http://schemas.openxmlformats.org/officeDocument/2006/relationships/hyperlink" Target="https://e-plataformaunica.sunat.gob.pe/app/recaudacion/tributaria/internet/html/carrito.html" TargetMode="External"/><Relationship Id="rId15" Type="http://schemas.openxmlformats.org/officeDocument/2006/relationships/hyperlink" Target="https://e-plataformaunica.sunat.gob.pe/app/recaudacion/tributaria/internet/html/carrito.html" TargetMode="External"/><Relationship Id="rId10" Type="http://schemas.openxmlformats.org/officeDocument/2006/relationships/hyperlink" Target="https://e-plataformaunica.sunat.gob.pe/app/recaudacion/tributaria/internet/html/carrito.html" TargetMode="External"/><Relationship Id="rId4" Type="http://schemas.openxmlformats.org/officeDocument/2006/relationships/hyperlink" Target="https://e-plataformaunica.sunat.gob.pe/app/recaudacion/tributaria/internet/html/carrito.html" TargetMode="External"/><Relationship Id="rId9" Type="http://schemas.openxmlformats.org/officeDocument/2006/relationships/hyperlink" Target="https://e-plataformaunica.sunat.gob.pe/app/recaudacion/tributaria/internet/html/carrito.html" TargetMode="External"/><Relationship Id="rId14" Type="http://schemas.openxmlformats.org/officeDocument/2006/relationships/hyperlink" Target="https://e-plataformaunica.sunat.gob.pe/app/recaudacion/tributaria/internet/html/carrito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78F7-989A-409F-8C32-A91F9DF0A469}">
  <dimension ref="A1:Z175"/>
  <sheetViews>
    <sheetView tabSelected="1" zoomScale="80" zoomScaleNormal="80" zoomScaleSheetLayoutView="100" workbookViewId="0">
      <selection sqref="A1:U1"/>
    </sheetView>
  </sheetViews>
  <sheetFormatPr baseColWidth="10" defaultRowHeight="13.8" x14ac:dyDescent="0.3"/>
  <cols>
    <col min="1" max="1" width="18.88671875" style="19" bestFit="1" customWidth="1"/>
    <col min="2" max="2" width="31.5546875" style="19" bestFit="1" customWidth="1"/>
    <col min="3" max="3" width="9.44140625" style="19" bestFit="1" customWidth="1"/>
    <col min="4" max="4" width="9.109375" style="4" customWidth="1"/>
    <col min="5" max="5" width="7.77734375" style="4" bestFit="1" customWidth="1"/>
    <col min="6" max="6" width="8.6640625" style="21" customWidth="1"/>
    <col min="7" max="7" width="7.33203125" style="19" customWidth="1"/>
    <col min="8" max="8" width="5.6640625" style="19" customWidth="1"/>
    <col min="9" max="9" width="6.5546875" style="19" customWidth="1"/>
    <col min="10" max="10" width="5.109375" style="19" customWidth="1"/>
    <col min="11" max="11" width="19.88671875" style="19" customWidth="1"/>
    <col min="12" max="12" width="12.109375" style="22" bestFit="1" customWidth="1"/>
    <col min="13" max="13" width="11.109375" style="19" bestFit="1" customWidth="1"/>
    <col min="14" max="14" width="13.88671875" style="19" bestFit="1" customWidth="1"/>
    <col min="15" max="15" width="9.6640625" style="19" bestFit="1" customWidth="1"/>
    <col min="16" max="16" width="12.109375" style="19" bestFit="1" customWidth="1"/>
    <col min="17" max="17" width="11.109375" style="22" bestFit="1" customWidth="1"/>
    <col min="18" max="18" width="12.109375" style="19" bestFit="1" customWidth="1"/>
    <col min="19" max="19" width="8.88671875" style="19" bestFit="1" customWidth="1"/>
    <col min="20" max="20" width="10.109375" style="19" bestFit="1" customWidth="1"/>
    <col min="21" max="21" width="11" style="19" bestFit="1" customWidth="1"/>
    <col min="22" max="22" width="8" style="19" bestFit="1" customWidth="1"/>
    <col min="23" max="23" width="5.5546875" style="19" bestFit="1" customWidth="1"/>
    <col min="24" max="25" width="11.5546875" style="19"/>
    <col min="26" max="26" width="31.5546875" style="19" customWidth="1"/>
    <col min="27" max="16384" width="11.5546875" style="19"/>
  </cols>
  <sheetData>
    <row r="1" spans="1:22" x14ac:dyDescent="0.3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59"/>
      <c r="Q1" s="60"/>
      <c r="R1" s="59"/>
      <c r="S1" s="59"/>
      <c r="T1" s="59"/>
      <c r="U1" s="59"/>
    </row>
    <row r="2" spans="1:22" s="36" customFormat="1" ht="39.6" customHeight="1" x14ac:dyDescent="0.3">
      <c r="A2" s="26" t="s">
        <v>18</v>
      </c>
      <c r="B2" s="26" t="s">
        <v>0</v>
      </c>
      <c r="C2" s="27" t="s">
        <v>23</v>
      </c>
      <c r="D2" s="28" t="s">
        <v>156</v>
      </c>
      <c r="E2" s="29" t="s">
        <v>58</v>
      </c>
      <c r="F2" s="30" t="s">
        <v>47</v>
      </c>
      <c r="G2" s="26" t="s">
        <v>57</v>
      </c>
      <c r="H2" s="26" t="s">
        <v>67</v>
      </c>
      <c r="I2" s="26" t="s">
        <v>61</v>
      </c>
      <c r="J2" s="31" t="s">
        <v>13</v>
      </c>
      <c r="K2" s="31" t="s">
        <v>14</v>
      </c>
      <c r="L2" s="17" t="s">
        <v>109</v>
      </c>
      <c r="M2" s="32" t="s">
        <v>6</v>
      </c>
      <c r="N2" s="32" t="s">
        <v>110</v>
      </c>
      <c r="O2" s="33">
        <v>0.04</v>
      </c>
      <c r="P2" s="32" t="s">
        <v>111</v>
      </c>
      <c r="Q2" s="18" t="s">
        <v>131</v>
      </c>
      <c r="R2" s="32" t="s">
        <v>112</v>
      </c>
      <c r="S2" s="34" t="s">
        <v>113</v>
      </c>
      <c r="T2" s="35" t="s">
        <v>114</v>
      </c>
      <c r="U2" s="35" t="s">
        <v>115</v>
      </c>
      <c r="V2" s="35" t="s">
        <v>299</v>
      </c>
    </row>
    <row r="3" spans="1:22" x14ac:dyDescent="0.3">
      <c r="A3" s="19" t="s">
        <v>19</v>
      </c>
      <c r="B3" s="19" t="s">
        <v>1</v>
      </c>
      <c r="C3" s="19" t="s">
        <v>40</v>
      </c>
      <c r="D3" s="20">
        <v>46033</v>
      </c>
      <c r="E3" s="20">
        <v>46030</v>
      </c>
      <c r="F3" s="21" t="s">
        <v>49</v>
      </c>
      <c r="G3" s="19" t="s">
        <v>59</v>
      </c>
      <c r="H3" s="19" t="s">
        <v>63</v>
      </c>
      <c r="I3" s="19" t="s">
        <v>64</v>
      </c>
      <c r="J3" s="19" t="s">
        <v>4</v>
      </c>
      <c r="K3" s="19" t="s">
        <v>71</v>
      </c>
      <c r="L3" s="22">
        <v>4100</v>
      </c>
      <c r="M3" s="22">
        <f t="shared" ref="M3:M22" si="0">L3*18%</f>
        <v>738</v>
      </c>
      <c r="N3" s="37">
        <f t="shared" ref="N3:N24" si="1">L3+M3</f>
        <v>4838</v>
      </c>
      <c r="O3" s="38">
        <v>194</v>
      </c>
      <c r="P3" s="39">
        <f t="shared" ref="P3:P13" si="2">(N3-O3)</f>
        <v>4644</v>
      </c>
      <c r="Q3" s="23">
        <v>4644</v>
      </c>
      <c r="R3" s="39">
        <f t="shared" ref="R3:R24" si="3">P3-Q3</f>
        <v>0</v>
      </c>
      <c r="S3" s="40" t="s">
        <v>116</v>
      </c>
      <c r="T3" s="40" t="s">
        <v>116</v>
      </c>
    </row>
    <row r="4" spans="1:22" x14ac:dyDescent="0.3">
      <c r="A4" s="19" t="s">
        <v>19</v>
      </c>
      <c r="B4" s="19" t="s">
        <v>1</v>
      </c>
      <c r="C4" s="19" t="s">
        <v>24</v>
      </c>
      <c r="D4" s="20">
        <v>46050</v>
      </c>
      <c r="E4" s="20">
        <v>46050</v>
      </c>
      <c r="F4" s="21" t="s">
        <v>49</v>
      </c>
      <c r="G4" s="19" t="s">
        <v>59</v>
      </c>
      <c r="H4" s="19" t="s">
        <v>63</v>
      </c>
      <c r="I4" s="19" t="s">
        <v>64</v>
      </c>
      <c r="J4" s="19" t="s">
        <v>4</v>
      </c>
      <c r="K4" s="19" t="s">
        <v>11</v>
      </c>
      <c r="L4" s="22">
        <v>4200</v>
      </c>
      <c r="M4" s="22">
        <f t="shared" si="0"/>
        <v>756</v>
      </c>
      <c r="N4" s="37">
        <f t="shared" si="1"/>
        <v>4956</v>
      </c>
      <c r="O4" s="38">
        <v>199</v>
      </c>
      <c r="P4" s="39">
        <v>0</v>
      </c>
      <c r="Q4" s="23"/>
      <c r="R4" s="39">
        <f t="shared" si="3"/>
        <v>0</v>
      </c>
      <c r="S4" s="41" t="s">
        <v>132</v>
      </c>
      <c r="T4" s="19" t="s">
        <v>133</v>
      </c>
    </row>
    <row r="5" spans="1:22" x14ac:dyDescent="0.3">
      <c r="A5" s="19" t="s">
        <v>19</v>
      </c>
      <c r="B5" s="19" t="s">
        <v>8</v>
      </c>
      <c r="C5" s="19" t="s">
        <v>39</v>
      </c>
      <c r="D5" s="20">
        <v>46051</v>
      </c>
      <c r="E5" s="20">
        <v>46051</v>
      </c>
      <c r="F5" s="21" t="s">
        <v>51</v>
      </c>
      <c r="G5" s="19" t="s">
        <v>59</v>
      </c>
      <c r="H5" s="19" t="s">
        <v>66</v>
      </c>
      <c r="I5" s="19" t="s">
        <v>60</v>
      </c>
      <c r="J5" s="19" t="s">
        <v>4</v>
      </c>
      <c r="K5" s="19" t="s">
        <v>12</v>
      </c>
      <c r="L5" s="22">
        <v>2800</v>
      </c>
      <c r="M5" s="22">
        <f t="shared" si="0"/>
        <v>504</v>
      </c>
      <c r="N5" s="37">
        <f t="shared" si="1"/>
        <v>3304</v>
      </c>
      <c r="O5" s="38">
        <v>132</v>
      </c>
      <c r="P5" s="39">
        <f t="shared" si="2"/>
        <v>3172</v>
      </c>
      <c r="Q5" s="23">
        <v>3171</v>
      </c>
      <c r="R5" s="39">
        <f t="shared" si="3"/>
        <v>1</v>
      </c>
      <c r="S5" s="40" t="s">
        <v>116</v>
      </c>
      <c r="T5" s="40" t="s">
        <v>116</v>
      </c>
    </row>
    <row r="6" spans="1:22" x14ac:dyDescent="0.3">
      <c r="A6" s="19" t="s">
        <v>19</v>
      </c>
      <c r="B6" s="19" t="s">
        <v>1</v>
      </c>
      <c r="C6" s="19" t="s">
        <v>36</v>
      </c>
      <c r="D6" s="20">
        <v>46060</v>
      </c>
      <c r="E6" s="20">
        <v>46050</v>
      </c>
      <c r="F6" s="21" t="s">
        <v>49</v>
      </c>
      <c r="G6" s="19" t="s">
        <v>59</v>
      </c>
      <c r="H6" s="19" t="s">
        <v>63</v>
      </c>
      <c r="I6" s="19" t="s">
        <v>65</v>
      </c>
      <c r="J6" s="19" t="s">
        <v>4</v>
      </c>
      <c r="K6" s="19" t="s">
        <v>4</v>
      </c>
      <c r="L6" s="22">
        <v>500</v>
      </c>
      <c r="M6" s="22">
        <f t="shared" si="0"/>
        <v>90</v>
      </c>
      <c r="N6" s="37">
        <f t="shared" si="1"/>
        <v>590</v>
      </c>
      <c r="O6" s="38">
        <v>24</v>
      </c>
      <c r="P6" s="39">
        <f>(N6-O6)</f>
        <v>566</v>
      </c>
      <c r="Q6" s="23">
        <v>566</v>
      </c>
      <c r="R6" s="39">
        <f>P6-Q6</f>
        <v>0</v>
      </c>
      <c r="S6" s="40" t="s">
        <v>116</v>
      </c>
      <c r="T6" s="40" t="s">
        <v>116</v>
      </c>
    </row>
    <row r="7" spans="1:22" x14ac:dyDescent="0.3">
      <c r="A7" s="19" t="s">
        <v>19</v>
      </c>
      <c r="B7" s="19" t="s">
        <v>16</v>
      </c>
      <c r="C7" s="19" t="s">
        <v>38</v>
      </c>
      <c r="D7" s="20">
        <v>46062</v>
      </c>
      <c r="E7" s="20">
        <v>46062</v>
      </c>
      <c r="F7" s="21" t="s">
        <v>52</v>
      </c>
      <c r="G7" s="19" t="s">
        <v>59</v>
      </c>
      <c r="H7" s="19" t="s">
        <v>66</v>
      </c>
      <c r="I7" s="19" t="s">
        <v>60</v>
      </c>
      <c r="J7" s="19" t="s">
        <v>4</v>
      </c>
      <c r="K7" s="19" t="s">
        <v>2</v>
      </c>
      <c r="L7" s="22">
        <v>4600</v>
      </c>
      <c r="M7" s="22">
        <f t="shared" si="0"/>
        <v>828</v>
      </c>
      <c r="N7" s="37">
        <f t="shared" si="1"/>
        <v>5428</v>
      </c>
      <c r="O7" s="38">
        <v>218</v>
      </c>
      <c r="P7" s="39">
        <f t="shared" si="2"/>
        <v>5210</v>
      </c>
      <c r="Q7" s="23">
        <f>2000+3210</f>
        <v>5210</v>
      </c>
      <c r="R7" s="39">
        <f t="shared" si="3"/>
        <v>0</v>
      </c>
      <c r="S7" s="40" t="s">
        <v>116</v>
      </c>
      <c r="T7" s="40" t="s">
        <v>116</v>
      </c>
    </row>
    <row r="8" spans="1:22" x14ac:dyDescent="0.3">
      <c r="A8" s="19" t="s">
        <v>19</v>
      </c>
      <c r="B8" s="19" t="s">
        <v>16</v>
      </c>
      <c r="C8" s="19" t="s">
        <v>37</v>
      </c>
      <c r="D8" s="20">
        <v>46083</v>
      </c>
      <c r="E8" s="20">
        <v>46083</v>
      </c>
      <c r="F8" s="21" t="s">
        <v>52</v>
      </c>
      <c r="G8" s="19" t="s">
        <v>59</v>
      </c>
      <c r="H8" s="19" t="s">
        <v>66</v>
      </c>
      <c r="I8" s="19" t="s">
        <v>60</v>
      </c>
      <c r="J8" s="19" t="s">
        <v>4</v>
      </c>
      <c r="K8" s="19" t="s">
        <v>2</v>
      </c>
      <c r="L8" s="22">
        <v>4600</v>
      </c>
      <c r="M8" s="22">
        <f t="shared" si="0"/>
        <v>828</v>
      </c>
      <c r="N8" s="37">
        <f t="shared" si="1"/>
        <v>5428</v>
      </c>
      <c r="O8" s="38">
        <v>218</v>
      </c>
      <c r="P8" s="39">
        <f t="shared" si="2"/>
        <v>5210</v>
      </c>
      <c r="Q8" s="23">
        <f>2000+3210</f>
        <v>5210</v>
      </c>
      <c r="R8" s="39">
        <f t="shared" si="3"/>
        <v>0</v>
      </c>
      <c r="S8" s="40" t="s">
        <v>116</v>
      </c>
      <c r="T8" s="40" t="s">
        <v>116</v>
      </c>
      <c r="U8" s="19" t="s">
        <v>137</v>
      </c>
    </row>
    <row r="9" spans="1:22" x14ac:dyDescent="0.3">
      <c r="A9" s="19" t="s">
        <v>19</v>
      </c>
      <c r="B9" s="19" t="s">
        <v>1</v>
      </c>
      <c r="C9" s="19" t="s">
        <v>27</v>
      </c>
      <c r="D9" s="20">
        <v>46100</v>
      </c>
      <c r="E9" s="20">
        <v>46100</v>
      </c>
      <c r="F9" s="21" t="s">
        <v>48</v>
      </c>
      <c r="G9" s="19" t="s">
        <v>70</v>
      </c>
      <c r="H9" s="19" t="s">
        <v>63</v>
      </c>
      <c r="I9" s="19" t="s">
        <v>65</v>
      </c>
      <c r="J9" s="19" t="s">
        <v>4</v>
      </c>
      <c r="K9" s="19" t="s">
        <v>17</v>
      </c>
      <c r="L9" s="22">
        <v>2500</v>
      </c>
      <c r="M9" s="22">
        <f t="shared" si="0"/>
        <v>450</v>
      </c>
      <c r="N9" s="37">
        <f t="shared" si="1"/>
        <v>2950</v>
      </c>
      <c r="O9" s="38">
        <f>N9*4%</f>
        <v>118</v>
      </c>
      <c r="P9" s="39">
        <f t="shared" si="2"/>
        <v>2832</v>
      </c>
      <c r="Q9" s="23">
        <f>2638.5+193.5</f>
        <v>2832</v>
      </c>
      <c r="R9" s="39">
        <f t="shared" si="3"/>
        <v>0</v>
      </c>
      <c r="S9" s="40" t="s">
        <v>116</v>
      </c>
      <c r="T9" s="40" t="s">
        <v>116</v>
      </c>
      <c r="U9" s="19">
        <v>301536291</v>
      </c>
    </row>
    <row r="10" spans="1:22" x14ac:dyDescent="0.3">
      <c r="A10" s="19" t="s">
        <v>19</v>
      </c>
      <c r="B10" s="19" t="s">
        <v>16</v>
      </c>
      <c r="C10" s="19" t="s">
        <v>28</v>
      </c>
      <c r="D10" s="20">
        <v>46102</v>
      </c>
      <c r="E10" s="20">
        <v>46099</v>
      </c>
      <c r="F10" s="21" t="s">
        <v>52</v>
      </c>
      <c r="G10" s="19" t="s">
        <v>70</v>
      </c>
      <c r="H10" s="19" t="s">
        <v>66</v>
      </c>
      <c r="I10" s="19" t="s">
        <v>60</v>
      </c>
      <c r="J10" s="19" t="s">
        <v>4</v>
      </c>
      <c r="K10" s="19" t="s">
        <v>11</v>
      </c>
      <c r="L10" s="22">
        <v>5000</v>
      </c>
      <c r="M10" s="22">
        <f t="shared" si="0"/>
        <v>900</v>
      </c>
      <c r="N10" s="37">
        <f t="shared" si="1"/>
        <v>5900</v>
      </c>
      <c r="O10" s="38">
        <f>N10*4%</f>
        <v>236</v>
      </c>
      <c r="P10" s="39">
        <f t="shared" si="2"/>
        <v>5664</v>
      </c>
      <c r="Q10" s="23">
        <v>5664</v>
      </c>
      <c r="R10" s="39">
        <f t="shared" si="3"/>
        <v>0</v>
      </c>
      <c r="S10" s="40" t="s">
        <v>116</v>
      </c>
      <c r="T10" s="40" t="s">
        <v>116</v>
      </c>
      <c r="U10" s="19">
        <v>301590550</v>
      </c>
    </row>
    <row r="11" spans="1:22" x14ac:dyDescent="0.3">
      <c r="A11" s="19" t="s">
        <v>19</v>
      </c>
      <c r="B11" s="19" t="s">
        <v>1</v>
      </c>
      <c r="C11" s="19" t="s">
        <v>42</v>
      </c>
      <c r="D11" s="20">
        <v>46108</v>
      </c>
      <c r="E11" s="20">
        <v>46108</v>
      </c>
      <c r="F11" s="21" t="s">
        <v>49</v>
      </c>
      <c r="G11" s="19" t="s">
        <v>59</v>
      </c>
      <c r="H11" s="19" t="s">
        <v>63</v>
      </c>
      <c r="I11" s="19" t="s">
        <v>65</v>
      </c>
      <c r="J11" s="19" t="s">
        <v>4</v>
      </c>
      <c r="K11" s="19" t="s">
        <v>12</v>
      </c>
      <c r="L11" s="22">
        <v>2700</v>
      </c>
      <c r="M11" s="22">
        <f t="shared" si="0"/>
        <v>486</v>
      </c>
      <c r="N11" s="37">
        <f t="shared" si="1"/>
        <v>3186</v>
      </c>
      <c r="O11" s="38">
        <v>128</v>
      </c>
      <c r="P11" s="39">
        <f t="shared" si="2"/>
        <v>3058</v>
      </c>
      <c r="Q11" s="23">
        <f>1000+2058</f>
        <v>3058</v>
      </c>
      <c r="R11" s="39">
        <f t="shared" si="3"/>
        <v>0</v>
      </c>
      <c r="S11" s="40" t="s">
        <v>116</v>
      </c>
      <c r="T11" s="40" t="s">
        <v>116</v>
      </c>
      <c r="U11" s="19">
        <v>301537008</v>
      </c>
    </row>
    <row r="12" spans="1:22" x14ac:dyDescent="0.3">
      <c r="A12" s="19" t="s">
        <v>19</v>
      </c>
      <c r="B12" s="19" t="s">
        <v>21</v>
      </c>
      <c r="C12" s="19" t="s">
        <v>41</v>
      </c>
      <c r="D12" s="20">
        <v>46120</v>
      </c>
      <c r="E12" s="20">
        <v>46120</v>
      </c>
      <c r="F12" s="21" t="s">
        <v>50</v>
      </c>
      <c r="G12" s="19" t="s">
        <v>59</v>
      </c>
      <c r="H12" s="19" t="s">
        <v>63</v>
      </c>
      <c r="I12" s="19" t="s">
        <v>72</v>
      </c>
      <c r="J12" s="19" t="s">
        <v>4</v>
      </c>
      <c r="K12" s="19" t="s">
        <v>71</v>
      </c>
      <c r="L12" s="22">
        <v>4200</v>
      </c>
      <c r="M12" s="22">
        <f t="shared" si="0"/>
        <v>756</v>
      </c>
      <c r="N12" s="37">
        <f t="shared" si="1"/>
        <v>4956</v>
      </c>
      <c r="O12" s="38">
        <v>198</v>
      </c>
      <c r="P12" s="39">
        <f t="shared" si="2"/>
        <v>4758</v>
      </c>
      <c r="Q12" s="23">
        <f>2000+2758</f>
        <v>4758</v>
      </c>
      <c r="R12" s="39">
        <f t="shared" si="3"/>
        <v>0</v>
      </c>
      <c r="S12" s="40" t="s">
        <v>116</v>
      </c>
      <c r="T12" s="40" t="s">
        <v>116</v>
      </c>
      <c r="U12" s="19">
        <v>303921767</v>
      </c>
    </row>
    <row r="13" spans="1:22" x14ac:dyDescent="0.3">
      <c r="A13" s="19" t="s">
        <v>19</v>
      </c>
      <c r="B13" s="19" t="s">
        <v>21</v>
      </c>
      <c r="C13" s="19" t="s">
        <v>25</v>
      </c>
      <c r="D13" s="20">
        <v>46127</v>
      </c>
      <c r="E13" s="20">
        <v>46122</v>
      </c>
      <c r="F13" s="21" t="s">
        <v>50</v>
      </c>
      <c r="G13" s="19" t="s">
        <v>59</v>
      </c>
      <c r="H13" s="19" t="s">
        <v>63</v>
      </c>
      <c r="I13" s="19" t="s">
        <v>72</v>
      </c>
      <c r="J13" s="19" t="s">
        <v>2</v>
      </c>
      <c r="K13" s="19" t="s">
        <v>22</v>
      </c>
      <c r="L13" s="22">
        <v>350</v>
      </c>
      <c r="M13" s="22">
        <f t="shared" si="0"/>
        <v>63</v>
      </c>
      <c r="N13" s="37">
        <f t="shared" si="1"/>
        <v>413</v>
      </c>
      <c r="O13" s="38">
        <v>17</v>
      </c>
      <c r="P13" s="39">
        <f t="shared" si="2"/>
        <v>396</v>
      </c>
      <c r="Q13" s="23">
        <v>396</v>
      </c>
      <c r="R13" s="39">
        <f t="shared" si="3"/>
        <v>0</v>
      </c>
      <c r="S13" s="40" t="s">
        <v>116</v>
      </c>
      <c r="T13" s="40" t="s">
        <v>116</v>
      </c>
      <c r="U13" s="19">
        <v>303930251</v>
      </c>
    </row>
    <row r="14" spans="1:22" x14ac:dyDescent="0.3">
      <c r="A14" s="19" t="s">
        <v>19</v>
      </c>
      <c r="B14" s="19" t="s">
        <v>8</v>
      </c>
      <c r="C14" s="19" t="s">
        <v>32</v>
      </c>
      <c r="D14" s="20">
        <v>46133</v>
      </c>
      <c r="E14" s="20">
        <v>46133</v>
      </c>
      <c r="F14" s="21" t="s">
        <v>55</v>
      </c>
      <c r="G14" s="19" t="s">
        <v>73</v>
      </c>
      <c r="H14" s="19" t="s">
        <v>63</v>
      </c>
      <c r="I14" s="19" t="s">
        <v>65</v>
      </c>
      <c r="J14" s="19" t="s">
        <v>4</v>
      </c>
      <c r="K14" s="19" t="s">
        <v>9</v>
      </c>
      <c r="L14" s="22">
        <v>5300</v>
      </c>
      <c r="M14" s="22">
        <f t="shared" si="0"/>
        <v>954</v>
      </c>
      <c r="N14" s="37">
        <f t="shared" si="1"/>
        <v>6254</v>
      </c>
      <c r="O14" s="38">
        <v>250</v>
      </c>
      <c r="P14" s="39">
        <f t="shared" ref="P14:P23" si="4">(N14-O14)</f>
        <v>6004</v>
      </c>
      <c r="Q14" s="23">
        <f>3504+2500</f>
        <v>6004</v>
      </c>
      <c r="R14" s="39">
        <f>P14-Q14</f>
        <v>0</v>
      </c>
      <c r="S14" s="40" t="s">
        <v>116</v>
      </c>
      <c r="T14" s="40" t="s">
        <v>116</v>
      </c>
      <c r="U14" s="19">
        <v>303926932</v>
      </c>
    </row>
    <row r="15" spans="1:22" x14ac:dyDescent="0.3">
      <c r="A15" s="19" t="s">
        <v>19</v>
      </c>
      <c r="B15" s="19" t="s">
        <v>15</v>
      </c>
      <c r="C15" s="19" t="s">
        <v>29</v>
      </c>
      <c r="D15" s="20">
        <v>46133</v>
      </c>
      <c r="E15" s="20">
        <v>46133</v>
      </c>
      <c r="F15" s="21" t="s">
        <v>53</v>
      </c>
      <c r="G15" s="19" t="s">
        <v>70</v>
      </c>
      <c r="H15" s="19" t="s">
        <v>63</v>
      </c>
      <c r="I15" s="19" t="s">
        <v>72</v>
      </c>
      <c r="J15" s="19" t="s">
        <v>4</v>
      </c>
      <c r="K15" s="19" t="s">
        <v>11</v>
      </c>
      <c r="L15" s="22">
        <v>4400</v>
      </c>
      <c r="M15" s="22">
        <f t="shared" si="0"/>
        <v>792</v>
      </c>
      <c r="N15" s="37">
        <f t="shared" si="1"/>
        <v>5192</v>
      </c>
      <c r="O15" s="38">
        <v>208</v>
      </c>
      <c r="P15" s="39">
        <f t="shared" si="4"/>
        <v>4984</v>
      </c>
      <c r="Q15" s="23">
        <f>2000+2984</f>
        <v>4984</v>
      </c>
      <c r="R15" s="39">
        <f t="shared" si="3"/>
        <v>0</v>
      </c>
      <c r="S15" s="40" t="s">
        <v>116</v>
      </c>
      <c r="T15" s="40" t="s">
        <v>116</v>
      </c>
      <c r="U15" s="19">
        <v>303930637</v>
      </c>
    </row>
    <row r="16" spans="1:22" x14ac:dyDescent="0.3">
      <c r="A16" s="19" t="s">
        <v>19</v>
      </c>
      <c r="B16" s="19" t="s">
        <v>1</v>
      </c>
      <c r="C16" s="19" t="s">
        <v>30</v>
      </c>
      <c r="D16" s="20">
        <v>46134</v>
      </c>
      <c r="E16" s="20">
        <v>46133</v>
      </c>
      <c r="F16" s="21" t="s">
        <v>54</v>
      </c>
      <c r="G16" s="19" t="s">
        <v>73</v>
      </c>
      <c r="H16" s="19" t="s">
        <v>63</v>
      </c>
      <c r="I16" s="19" t="s">
        <v>72</v>
      </c>
      <c r="J16" s="19" t="s">
        <v>4</v>
      </c>
      <c r="K16" s="19" t="s">
        <v>12</v>
      </c>
      <c r="L16" s="22">
        <v>2600</v>
      </c>
      <c r="M16" s="22">
        <f t="shared" si="0"/>
        <v>468</v>
      </c>
      <c r="N16" s="37">
        <f t="shared" si="1"/>
        <v>3068</v>
      </c>
      <c r="O16" s="38">
        <v>123</v>
      </c>
      <c r="P16" s="39">
        <f t="shared" si="4"/>
        <v>2945</v>
      </c>
      <c r="Q16" s="23">
        <f>1000+1945</f>
        <v>2945</v>
      </c>
      <c r="R16" s="39">
        <f t="shared" si="3"/>
        <v>0</v>
      </c>
      <c r="S16" s="40" t="s">
        <v>116</v>
      </c>
      <c r="T16" s="40" t="s">
        <v>116</v>
      </c>
      <c r="U16" s="19">
        <v>303922307</v>
      </c>
    </row>
    <row r="17" spans="1:21" x14ac:dyDescent="0.3">
      <c r="A17" s="19" t="s">
        <v>19</v>
      </c>
      <c r="B17" s="19" t="s">
        <v>1</v>
      </c>
      <c r="C17" s="19" t="s">
        <v>35</v>
      </c>
      <c r="D17" s="20">
        <v>46135</v>
      </c>
      <c r="E17" s="20">
        <v>46134</v>
      </c>
      <c r="F17" s="21" t="s">
        <v>48</v>
      </c>
      <c r="G17" s="19" t="s">
        <v>70</v>
      </c>
      <c r="H17" s="19" t="s">
        <v>63</v>
      </c>
      <c r="I17" s="19" t="s">
        <v>74</v>
      </c>
      <c r="J17" s="19" t="s">
        <v>4</v>
      </c>
      <c r="K17" s="19" t="s">
        <v>10</v>
      </c>
      <c r="L17" s="22">
        <v>3400</v>
      </c>
      <c r="M17" s="22">
        <f t="shared" si="0"/>
        <v>612</v>
      </c>
      <c r="N17" s="37">
        <f t="shared" si="1"/>
        <v>4012</v>
      </c>
      <c r="O17" s="38">
        <v>161</v>
      </c>
      <c r="P17" s="39">
        <f t="shared" si="4"/>
        <v>3851</v>
      </c>
      <c r="Q17" s="23">
        <f>1500+2351</f>
        <v>3851</v>
      </c>
      <c r="R17" s="39">
        <f t="shared" si="3"/>
        <v>0</v>
      </c>
      <c r="S17" s="40" t="s">
        <v>116</v>
      </c>
      <c r="T17" s="40" t="s">
        <v>116</v>
      </c>
      <c r="U17" s="19">
        <v>303926763</v>
      </c>
    </row>
    <row r="18" spans="1:21" x14ac:dyDescent="0.3">
      <c r="A18" s="19" t="s">
        <v>19</v>
      </c>
      <c r="B18" s="19" t="s">
        <v>1</v>
      </c>
      <c r="C18" s="19" t="s">
        <v>31</v>
      </c>
      <c r="D18" s="20">
        <v>46135</v>
      </c>
      <c r="E18" s="20">
        <v>46134</v>
      </c>
      <c r="F18" s="21" t="s">
        <v>49</v>
      </c>
      <c r="G18" s="19" t="s">
        <v>73</v>
      </c>
      <c r="H18" s="19" t="s">
        <v>63</v>
      </c>
      <c r="I18" s="19" t="s">
        <v>76</v>
      </c>
      <c r="J18" s="19" t="s">
        <v>4</v>
      </c>
      <c r="K18" s="19" t="s">
        <v>11</v>
      </c>
      <c r="L18" s="22">
        <v>4800</v>
      </c>
      <c r="M18" s="22">
        <f t="shared" si="0"/>
        <v>864</v>
      </c>
      <c r="N18" s="37">
        <f t="shared" si="1"/>
        <v>5664</v>
      </c>
      <c r="O18" s="38">
        <v>227</v>
      </c>
      <c r="P18" s="39">
        <f t="shared" si="4"/>
        <v>5437</v>
      </c>
      <c r="Q18" s="23">
        <f>2000+3437</f>
        <v>5437</v>
      </c>
      <c r="R18" s="39">
        <f t="shared" si="3"/>
        <v>0</v>
      </c>
      <c r="S18" s="40" t="s">
        <v>116</v>
      </c>
      <c r="T18" s="40" t="s">
        <v>116</v>
      </c>
      <c r="U18" s="19">
        <v>303928617</v>
      </c>
    </row>
    <row r="19" spans="1:21" x14ac:dyDescent="0.3">
      <c r="A19" s="19" t="s">
        <v>19</v>
      </c>
      <c r="B19" s="19" t="s">
        <v>105</v>
      </c>
      <c r="C19" s="19" t="s">
        <v>33</v>
      </c>
      <c r="D19" s="20">
        <v>46135</v>
      </c>
      <c r="E19" s="20">
        <v>46134</v>
      </c>
      <c r="F19" s="21" t="s">
        <v>56</v>
      </c>
      <c r="G19" s="19" t="s">
        <v>73</v>
      </c>
      <c r="H19" s="19" t="s">
        <v>66</v>
      </c>
      <c r="I19" s="19" t="s">
        <v>77</v>
      </c>
      <c r="J19" s="19" t="s">
        <v>4</v>
      </c>
      <c r="K19" s="19" t="s">
        <v>7</v>
      </c>
      <c r="L19" s="23">
        <v>4000</v>
      </c>
      <c r="M19" s="23">
        <f t="shared" si="0"/>
        <v>720</v>
      </c>
      <c r="N19" s="37">
        <f t="shared" si="1"/>
        <v>4720</v>
      </c>
      <c r="O19" s="38">
        <v>189</v>
      </c>
      <c r="P19" s="39">
        <f t="shared" si="4"/>
        <v>4531</v>
      </c>
      <c r="Q19" s="23">
        <f>2000+2531</f>
        <v>4531</v>
      </c>
      <c r="R19" s="39">
        <f t="shared" si="3"/>
        <v>0</v>
      </c>
      <c r="S19" s="40" t="s">
        <v>116</v>
      </c>
      <c r="T19" s="40" t="s">
        <v>116</v>
      </c>
      <c r="U19" s="19">
        <v>303923284</v>
      </c>
    </row>
    <row r="20" spans="1:21" x14ac:dyDescent="0.3">
      <c r="A20" s="19" t="s">
        <v>138</v>
      </c>
      <c r="B20" s="19" t="s">
        <v>138</v>
      </c>
      <c r="C20" s="19" t="s">
        <v>139</v>
      </c>
      <c r="D20" s="20">
        <v>46139</v>
      </c>
      <c r="E20" s="20">
        <v>46139</v>
      </c>
      <c r="G20" s="19" t="s">
        <v>73</v>
      </c>
      <c r="J20" s="19" t="s">
        <v>4</v>
      </c>
      <c r="K20" s="19" t="s">
        <v>9</v>
      </c>
      <c r="L20" s="22">
        <v>6000</v>
      </c>
      <c r="M20" s="22">
        <f t="shared" si="0"/>
        <v>1080</v>
      </c>
      <c r="N20" s="37">
        <f t="shared" si="1"/>
        <v>7080</v>
      </c>
      <c r="O20" s="38">
        <v>283</v>
      </c>
      <c r="P20" s="39">
        <f t="shared" si="4"/>
        <v>6797</v>
      </c>
      <c r="Q20" s="23">
        <f>3500+3297</f>
        <v>6797</v>
      </c>
      <c r="R20" s="39">
        <f t="shared" si="3"/>
        <v>0</v>
      </c>
      <c r="S20" s="40" t="s">
        <v>116</v>
      </c>
      <c r="T20" s="40" t="s">
        <v>116</v>
      </c>
      <c r="U20" s="19">
        <v>304010668</v>
      </c>
    </row>
    <row r="21" spans="1:21" x14ac:dyDescent="0.3">
      <c r="A21" s="19" t="s">
        <v>19</v>
      </c>
      <c r="B21" s="19" t="s">
        <v>1</v>
      </c>
      <c r="C21" s="19" t="s">
        <v>34</v>
      </c>
      <c r="D21" s="20">
        <v>46142</v>
      </c>
      <c r="E21" s="20">
        <v>46142</v>
      </c>
      <c r="F21" s="21" t="s">
        <v>48</v>
      </c>
      <c r="G21" s="19" t="s">
        <v>73</v>
      </c>
      <c r="H21" s="19" t="s">
        <v>63</v>
      </c>
      <c r="I21" s="19" t="s">
        <v>75</v>
      </c>
      <c r="J21" s="19" t="s">
        <v>4</v>
      </c>
      <c r="K21" s="19" t="s">
        <v>2</v>
      </c>
      <c r="L21" s="22">
        <v>4700</v>
      </c>
      <c r="M21" s="22">
        <f t="shared" si="0"/>
        <v>846</v>
      </c>
      <c r="N21" s="37">
        <f t="shared" si="1"/>
        <v>5546</v>
      </c>
      <c r="O21" s="38">
        <v>221</v>
      </c>
      <c r="P21" s="39">
        <f t="shared" si="4"/>
        <v>5325</v>
      </c>
      <c r="Q21" s="23">
        <f>2500+500+2325</f>
        <v>5325</v>
      </c>
      <c r="R21" s="39">
        <f t="shared" si="3"/>
        <v>0</v>
      </c>
      <c r="S21" s="40" t="s">
        <v>116</v>
      </c>
      <c r="T21" s="40" t="s">
        <v>116</v>
      </c>
      <c r="U21" s="19">
        <v>303918813</v>
      </c>
    </row>
    <row r="22" spans="1:21" x14ac:dyDescent="0.3">
      <c r="A22" s="19" t="s">
        <v>20</v>
      </c>
      <c r="B22" s="19" t="s">
        <v>3</v>
      </c>
      <c r="C22" s="19" t="s">
        <v>26</v>
      </c>
      <c r="D22" s="20">
        <v>46142</v>
      </c>
      <c r="E22" s="20">
        <v>46142</v>
      </c>
      <c r="G22" s="19" t="s">
        <v>59</v>
      </c>
      <c r="I22" s="19" t="s">
        <v>60</v>
      </c>
      <c r="J22" s="19" t="s">
        <v>4</v>
      </c>
      <c r="K22" s="19" t="s">
        <v>5</v>
      </c>
      <c r="L22" s="23">
        <v>1025</v>
      </c>
      <c r="M22" s="22">
        <f t="shared" si="0"/>
        <v>184.5</v>
      </c>
      <c r="N22" s="37">
        <f t="shared" si="1"/>
        <v>1209.5</v>
      </c>
      <c r="O22" s="38">
        <f>N22*4%</f>
        <v>48.38</v>
      </c>
      <c r="P22" s="39">
        <f t="shared" si="4"/>
        <v>1161.1199999999999</v>
      </c>
      <c r="Q22" s="23">
        <v>1161.1199999999999</v>
      </c>
      <c r="R22" s="39">
        <f t="shared" si="3"/>
        <v>0</v>
      </c>
      <c r="S22" s="40" t="s">
        <v>116</v>
      </c>
      <c r="T22" s="40" t="s">
        <v>116</v>
      </c>
      <c r="U22" s="19">
        <v>303922948</v>
      </c>
    </row>
    <row r="23" spans="1:21" x14ac:dyDescent="0.3">
      <c r="A23" s="19" t="s">
        <v>82</v>
      </c>
      <c r="B23" s="19" t="s">
        <v>83</v>
      </c>
      <c r="C23" s="19" t="s">
        <v>81</v>
      </c>
      <c r="D23" s="20">
        <v>46142</v>
      </c>
      <c r="E23" s="20">
        <v>46141</v>
      </c>
      <c r="F23" s="21" t="s">
        <v>88</v>
      </c>
      <c r="G23" s="19" t="s">
        <v>70</v>
      </c>
      <c r="H23" s="19" t="s">
        <v>89</v>
      </c>
      <c r="I23" s="19" t="s">
        <v>60</v>
      </c>
      <c r="J23" s="19" t="s">
        <v>4</v>
      </c>
      <c r="K23" s="19" t="s">
        <v>11</v>
      </c>
      <c r="L23" s="23">
        <v>5932.2</v>
      </c>
      <c r="M23" s="22">
        <f>L23*0.18</f>
        <v>1067.7959999999998</v>
      </c>
      <c r="N23" s="37">
        <f t="shared" si="1"/>
        <v>6999.9959999999992</v>
      </c>
      <c r="O23" s="38">
        <f>N23*4%</f>
        <v>279.99983999999995</v>
      </c>
      <c r="P23" s="39">
        <f t="shared" si="4"/>
        <v>6719.9961599999988</v>
      </c>
      <c r="Q23" s="23">
        <f>3000+3720</f>
        <v>6720</v>
      </c>
      <c r="R23" s="39">
        <f t="shared" si="3"/>
        <v>-3.8400000012188684E-3</v>
      </c>
      <c r="S23" s="40" t="s">
        <v>116</v>
      </c>
      <c r="T23" s="40" t="s">
        <v>116</v>
      </c>
      <c r="U23" s="19">
        <v>303920307</v>
      </c>
    </row>
    <row r="24" spans="1:21" x14ac:dyDescent="0.3">
      <c r="A24" s="19" t="s">
        <v>82</v>
      </c>
      <c r="B24" s="19" t="s">
        <v>84</v>
      </c>
      <c r="C24" s="19" t="s">
        <v>85</v>
      </c>
      <c r="D24" s="20">
        <v>46142</v>
      </c>
      <c r="E24" s="20">
        <v>46142</v>
      </c>
      <c r="F24" s="21" t="s">
        <v>78</v>
      </c>
      <c r="G24" s="19" t="s">
        <v>73</v>
      </c>
      <c r="H24" s="19" t="s">
        <v>86</v>
      </c>
      <c r="I24" s="19" t="s">
        <v>87</v>
      </c>
      <c r="J24" s="19" t="s">
        <v>4</v>
      </c>
      <c r="K24" s="19" t="s">
        <v>7</v>
      </c>
      <c r="L24" s="23">
        <v>4067.8</v>
      </c>
      <c r="M24" s="22">
        <f>L24*0.18</f>
        <v>732.20399999999995</v>
      </c>
      <c r="N24" s="37">
        <f t="shared" si="1"/>
        <v>4800.0039999999999</v>
      </c>
      <c r="O24" s="38">
        <f>N24*4%</f>
        <v>192.00015999999999</v>
      </c>
      <c r="P24" s="39">
        <f>N24-O24</f>
        <v>4608.0038400000003</v>
      </c>
      <c r="Q24" s="23">
        <f>4608</f>
        <v>4608</v>
      </c>
      <c r="R24" s="39">
        <f t="shared" si="3"/>
        <v>3.8400000003093737E-3</v>
      </c>
      <c r="S24" s="40" t="s">
        <v>116</v>
      </c>
      <c r="T24" s="40" t="s">
        <v>116</v>
      </c>
      <c r="U24" s="19">
        <v>303921989</v>
      </c>
    </row>
    <row r="25" spans="1:21" x14ac:dyDescent="0.3">
      <c r="A25" s="19" t="s">
        <v>19</v>
      </c>
      <c r="B25" s="19" t="s">
        <v>8</v>
      </c>
      <c r="C25" s="19" t="s">
        <v>93</v>
      </c>
      <c r="D25" s="20">
        <v>46147</v>
      </c>
      <c r="E25" s="20">
        <v>46147</v>
      </c>
      <c r="F25" s="21" t="s">
        <v>55</v>
      </c>
      <c r="G25" s="19" t="s">
        <v>70</v>
      </c>
      <c r="J25" s="19" t="s">
        <v>4</v>
      </c>
      <c r="K25" s="19" t="s">
        <v>10</v>
      </c>
      <c r="L25" s="23">
        <v>3400</v>
      </c>
      <c r="M25" s="22">
        <f t="shared" ref="M25:M34" si="5">L25*0.18</f>
        <v>612</v>
      </c>
      <c r="N25" s="37">
        <f t="shared" ref="N25:N34" si="6">L25+M25</f>
        <v>4012</v>
      </c>
      <c r="O25" s="38">
        <v>160</v>
      </c>
      <c r="P25" s="39">
        <f t="shared" ref="P25:P34" si="7">N25-O25</f>
        <v>3852</v>
      </c>
      <c r="Q25" s="23">
        <f>1300+2552</f>
        <v>3852</v>
      </c>
      <c r="R25" s="39">
        <f>P25-Q25</f>
        <v>0</v>
      </c>
      <c r="S25" s="42" t="s">
        <v>116</v>
      </c>
      <c r="T25" s="42" t="s">
        <v>116</v>
      </c>
      <c r="U25" s="43">
        <v>307218521</v>
      </c>
    </row>
    <row r="26" spans="1:21" x14ac:dyDescent="0.3">
      <c r="A26" s="19" t="s">
        <v>19</v>
      </c>
      <c r="B26" s="19" t="s">
        <v>21</v>
      </c>
      <c r="C26" s="19" t="s">
        <v>278</v>
      </c>
      <c r="D26" s="20">
        <v>46146</v>
      </c>
      <c r="E26" s="20">
        <v>46146</v>
      </c>
      <c r="F26" s="21" t="s">
        <v>50</v>
      </c>
      <c r="G26" s="19" t="s">
        <v>73</v>
      </c>
      <c r="J26" s="19" t="s">
        <v>4</v>
      </c>
      <c r="K26" s="19" t="s">
        <v>422</v>
      </c>
      <c r="L26" s="23">
        <v>2800</v>
      </c>
      <c r="M26" s="22">
        <f t="shared" si="5"/>
        <v>504</v>
      </c>
      <c r="N26" s="37">
        <f t="shared" si="6"/>
        <v>3304</v>
      </c>
      <c r="O26" s="38">
        <v>132</v>
      </c>
      <c r="P26" s="39">
        <f t="shared" si="7"/>
        <v>3172</v>
      </c>
      <c r="Q26" s="23">
        <f>1400+1772</f>
        <v>3172</v>
      </c>
      <c r="R26" s="39">
        <f t="shared" ref="R26:R34" si="8">P26-Q26</f>
        <v>0</v>
      </c>
      <c r="S26" s="42" t="s">
        <v>116</v>
      </c>
      <c r="T26" s="42" t="s">
        <v>116</v>
      </c>
      <c r="U26" s="43">
        <v>307253078</v>
      </c>
    </row>
    <row r="27" spans="1:21" x14ac:dyDescent="0.3">
      <c r="A27" s="19" t="s">
        <v>19</v>
      </c>
      <c r="B27" s="19" t="s">
        <v>21</v>
      </c>
      <c r="C27" s="19" t="s">
        <v>182</v>
      </c>
      <c r="D27" s="20">
        <v>46148</v>
      </c>
      <c r="E27" s="20">
        <v>46146</v>
      </c>
      <c r="F27" s="21" t="s">
        <v>50</v>
      </c>
      <c r="G27" s="19" t="s">
        <v>73</v>
      </c>
      <c r="J27" s="19" t="s">
        <v>4</v>
      </c>
      <c r="K27" s="19" t="s">
        <v>183</v>
      </c>
      <c r="L27" s="23">
        <v>600</v>
      </c>
      <c r="M27" s="23">
        <f t="shared" si="5"/>
        <v>108</v>
      </c>
      <c r="N27" s="37">
        <f>L27+M27</f>
        <v>708</v>
      </c>
      <c r="O27" s="38">
        <v>28</v>
      </c>
      <c r="P27" s="39">
        <f>N27-O27</f>
        <v>680</v>
      </c>
      <c r="Q27" s="23">
        <f>680</f>
        <v>680</v>
      </c>
      <c r="R27" s="39">
        <f>P27-Q27</f>
        <v>0</v>
      </c>
      <c r="S27" s="42" t="s">
        <v>116</v>
      </c>
      <c r="T27" s="42" t="s">
        <v>116</v>
      </c>
      <c r="U27" s="43">
        <v>307256482</v>
      </c>
    </row>
    <row r="28" spans="1:21" x14ac:dyDescent="0.3">
      <c r="A28" s="19" t="s">
        <v>19</v>
      </c>
      <c r="B28" s="19" t="s">
        <v>104</v>
      </c>
      <c r="C28" s="19" t="s">
        <v>94</v>
      </c>
      <c r="D28" s="20">
        <v>46146</v>
      </c>
      <c r="E28" s="20">
        <v>46146</v>
      </c>
      <c r="F28" s="21" t="s">
        <v>53</v>
      </c>
      <c r="G28" s="19" t="s">
        <v>73</v>
      </c>
      <c r="J28" s="19" t="s">
        <v>4</v>
      </c>
      <c r="K28" s="19" t="s">
        <v>127</v>
      </c>
      <c r="L28" s="23">
        <v>2200</v>
      </c>
      <c r="M28" s="23">
        <f t="shared" si="5"/>
        <v>396</v>
      </c>
      <c r="N28" s="37">
        <f t="shared" si="6"/>
        <v>2596</v>
      </c>
      <c r="O28" s="38">
        <v>104</v>
      </c>
      <c r="P28" s="39">
        <f t="shared" si="7"/>
        <v>2492</v>
      </c>
      <c r="Q28" s="23">
        <f>1000+1492</f>
        <v>2492</v>
      </c>
      <c r="R28" s="39">
        <f t="shared" si="8"/>
        <v>0</v>
      </c>
      <c r="S28" s="42" t="s">
        <v>116</v>
      </c>
      <c r="T28" s="42" t="s">
        <v>116</v>
      </c>
      <c r="U28" s="43">
        <v>307247925</v>
      </c>
    </row>
    <row r="29" spans="1:21" x14ac:dyDescent="0.3">
      <c r="A29" s="19" t="s">
        <v>19</v>
      </c>
      <c r="B29" s="19" t="s">
        <v>105</v>
      </c>
      <c r="C29" s="19" t="s">
        <v>95</v>
      </c>
      <c r="D29" s="20">
        <v>46145</v>
      </c>
      <c r="E29" s="20">
        <v>46144</v>
      </c>
      <c r="F29" s="21" t="s">
        <v>79</v>
      </c>
      <c r="G29" s="19" t="s">
        <v>73</v>
      </c>
      <c r="J29" s="19" t="s">
        <v>4</v>
      </c>
      <c r="K29" s="19" t="s">
        <v>102</v>
      </c>
      <c r="L29" s="23">
        <v>7000</v>
      </c>
      <c r="M29" s="23">
        <f t="shared" si="5"/>
        <v>1260</v>
      </c>
      <c r="N29" s="37">
        <f t="shared" si="6"/>
        <v>8260</v>
      </c>
      <c r="O29" s="38">
        <v>331</v>
      </c>
      <c r="P29" s="39">
        <f t="shared" si="7"/>
        <v>7929</v>
      </c>
      <c r="Q29" s="23">
        <f>3000+2324+2605</f>
        <v>7929</v>
      </c>
      <c r="R29" s="39">
        <f t="shared" si="8"/>
        <v>0</v>
      </c>
      <c r="S29" s="42" t="s">
        <v>116</v>
      </c>
      <c r="T29" s="42" t="s">
        <v>116</v>
      </c>
      <c r="U29" s="43">
        <v>307251738</v>
      </c>
    </row>
    <row r="30" spans="1:21" x14ac:dyDescent="0.3">
      <c r="A30" s="19" t="s">
        <v>19</v>
      </c>
      <c r="B30" s="19" t="s">
        <v>106</v>
      </c>
      <c r="C30" s="19" t="s">
        <v>96</v>
      </c>
      <c r="D30" s="20">
        <v>46147</v>
      </c>
      <c r="E30" s="20">
        <v>46147</v>
      </c>
      <c r="F30" s="21" t="s">
        <v>118</v>
      </c>
      <c r="G30" s="19" t="s">
        <v>73</v>
      </c>
      <c r="J30" s="19" t="s">
        <v>4</v>
      </c>
      <c r="K30" s="19" t="s">
        <v>128</v>
      </c>
      <c r="L30" s="23">
        <v>7000</v>
      </c>
      <c r="M30" s="23">
        <f t="shared" si="5"/>
        <v>1260</v>
      </c>
      <c r="N30" s="37">
        <f t="shared" si="6"/>
        <v>8260</v>
      </c>
      <c r="O30" s="38">
        <v>331</v>
      </c>
      <c r="P30" s="39">
        <f t="shared" si="7"/>
        <v>7929</v>
      </c>
      <c r="Q30" s="23">
        <f>3000+4929</f>
        <v>7929</v>
      </c>
      <c r="R30" s="39">
        <f t="shared" si="8"/>
        <v>0</v>
      </c>
      <c r="S30" s="42" t="s">
        <v>116</v>
      </c>
      <c r="T30" s="42" t="s">
        <v>116</v>
      </c>
      <c r="U30" s="43">
        <v>307241502</v>
      </c>
    </row>
    <row r="31" spans="1:21" x14ac:dyDescent="0.3">
      <c r="A31" s="19" t="s">
        <v>82</v>
      </c>
      <c r="B31" s="19" t="s">
        <v>107</v>
      </c>
      <c r="C31" s="19" t="s">
        <v>129</v>
      </c>
      <c r="D31" s="20">
        <v>46146</v>
      </c>
      <c r="E31" s="20">
        <v>46144</v>
      </c>
      <c r="F31" s="21" t="s">
        <v>130</v>
      </c>
      <c r="G31" s="19" t="s">
        <v>59</v>
      </c>
      <c r="J31" s="19" t="s">
        <v>4</v>
      </c>
      <c r="K31" s="19" t="s">
        <v>12</v>
      </c>
      <c r="L31" s="23">
        <v>3389.83</v>
      </c>
      <c r="M31" s="22">
        <f t="shared" si="5"/>
        <v>610.1694</v>
      </c>
      <c r="N31" s="37">
        <f t="shared" si="6"/>
        <v>3999.9993999999997</v>
      </c>
      <c r="O31" s="38">
        <f>N31*4%</f>
        <v>159.999976</v>
      </c>
      <c r="P31" s="39">
        <f t="shared" si="7"/>
        <v>3839.9994239999996</v>
      </c>
      <c r="Q31" s="23">
        <v>3840</v>
      </c>
      <c r="R31" s="39">
        <f t="shared" si="8"/>
        <v>-5.760000003647292E-4</v>
      </c>
      <c r="S31" s="40" t="s">
        <v>116</v>
      </c>
      <c r="T31" s="42" t="s">
        <v>116</v>
      </c>
      <c r="U31" s="43">
        <v>307199645</v>
      </c>
    </row>
    <row r="32" spans="1:21" x14ac:dyDescent="0.3">
      <c r="A32" s="19" t="s">
        <v>82</v>
      </c>
      <c r="B32" s="19" t="s">
        <v>108</v>
      </c>
      <c r="C32" s="19" t="s">
        <v>97</v>
      </c>
      <c r="D32" s="20">
        <v>46147</v>
      </c>
      <c r="F32" s="21" t="s">
        <v>88</v>
      </c>
      <c r="G32" s="19" t="s">
        <v>73</v>
      </c>
      <c r="J32" s="19" t="s">
        <v>4</v>
      </c>
      <c r="K32" s="19" t="s">
        <v>12</v>
      </c>
      <c r="L32" s="23">
        <v>3500</v>
      </c>
      <c r="M32" s="22">
        <f t="shared" si="5"/>
        <v>630</v>
      </c>
      <c r="N32" s="37">
        <f t="shared" si="6"/>
        <v>4130</v>
      </c>
      <c r="O32" s="38">
        <v>165</v>
      </c>
      <c r="P32" s="39">
        <f t="shared" si="7"/>
        <v>3965</v>
      </c>
      <c r="Q32" s="23">
        <f>200+3765</f>
        <v>3965</v>
      </c>
      <c r="R32" s="39">
        <f t="shared" si="8"/>
        <v>0</v>
      </c>
      <c r="S32" s="40" t="s">
        <v>116</v>
      </c>
      <c r="T32" s="42" t="s">
        <v>116</v>
      </c>
      <c r="U32" s="43">
        <v>307193582</v>
      </c>
    </row>
    <row r="33" spans="1:22" x14ac:dyDescent="0.3">
      <c r="A33" s="19" t="s">
        <v>82</v>
      </c>
      <c r="B33" s="19" t="s">
        <v>107</v>
      </c>
      <c r="C33" s="19" t="s">
        <v>98</v>
      </c>
      <c r="D33" s="20">
        <v>46147</v>
      </c>
      <c r="F33" s="21" t="s">
        <v>120</v>
      </c>
      <c r="G33" s="19" t="s">
        <v>73</v>
      </c>
      <c r="J33" s="19" t="s">
        <v>4</v>
      </c>
      <c r="K33" s="19" t="s">
        <v>103</v>
      </c>
      <c r="L33" s="23">
        <v>2966.1</v>
      </c>
      <c r="M33" s="22">
        <f t="shared" si="5"/>
        <v>533.89799999999991</v>
      </c>
      <c r="N33" s="37">
        <f t="shared" si="6"/>
        <v>3499.9979999999996</v>
      </c>
      <c r="O33" s="38">
        <f>N33*4%</f>
        <v>139.99991999999997</v>
      </c>
      <c r="P33" s="39">
        <f t="shared" si="7"/>
        <v>3359.9980799999994</v>
      </c>
      <c r="Q33" s="23">
        <v>3360</v>
      </c>
      <c r="R33" s="39">
        <f t="shared" si="8"/>
        <v>-1.9200000006094342E-3</v>
      </c>
      <c r="S33" s="40" t="s">
        <v>116</v>
      </c>
      <c r="T33" s="42" t="s">
        <v>116</v>
      </c>
      <c r="U33" s="43">
        <v>307183291</v>
      </c>
    </row>
    <row r="34" spans="1:22" x14ac:dyDescent="0.3">
      <c r="A34" s="19" t="s">
        <v>82</v>
      </c>
      <c r="B34" s="19" t="s">
        <v>107</v>
      </c>
      <c r="C34" s="19" t="s">
        <v>99</v>
      </c>
      <c r="D34" s="20">
        <v>46147</v>
      </c>
      <c r="F34" s="21" t="s">
        <v>119</v>
      </c>
      <c r="G34" s="19" t="s">
        <v>73</v>
      </c>
      <c r="J34" s="19" t="s">
        <v>4</v>
      </c>
      <c r="K34" s="19" t="s">
        <v>69</v>
      </c>
      <c r="L34" s="23">
        <v>7203.39</v>
      </c>
      <c r="M34" s="22">
        <f t="shared" si="5"/>
        <v>1296.6102000000001</v>
      </c>
      <c r="N34" s="37">
        <f t="shared" si="6"/>
        <v>8500.0002000000004</v>
      </c>
      <c r="O34" s="38">
        <f>N34*4%</f>
        <v>340.00000800000004</v>
      </c>
      <c r="P34" s="39">
        <f t="shared" si="7"/>
        <v>8160.0001920000004</v>
      </c>
      <c r="Q34" s="23">
        <f>4000+4160</f>
        <v>8160</v>
      </c>
      <c r="R34" s="39">
        <f t="shared" si="8"/>
        <v>1.920000004247413E-4</v>
      </c>
      <c r="S34" s="40" t="s">
        <v>116</v>
      </c>
      <c r="T34" s="42" t="s">
        <v>116</v>
      </c>
      <c r="U34" s="43">
        <v>307171922</v>
      </c>
    </row>
    <row r="35" spans="1:22" x14ac:dyDescent="0.3">
      <c r="A35" s="19" t="s">
        <v>134</v>
      </c>
      <c r="B35" s="19" t="s">
        <v>201</v>
      </c>
      <c r="C35" s="19" t="s">
        <v>239</v>
      </c>
      <c r="D35" s="20">
        <v>46166</v>
      </c>
      <c r="E35" s="20">
        <v>46144</v>
      </c>
      <c r="F35" s="21" t="s">
        <v>135</v>
      </c>
      <c r="G35" s="19" t="s">
        <v>73</v>
      </c>
      <c r="J35" s="19" t="s">
        <v>4</v>
      </c>
      <c r="K35" s="19" t="s">
        <v>136</v>
      </c>
      <c r="L35" s="23">
        <v>5000</v>
      </c>
      <c r="M35" s="22">
        <f t="shared" ref="M35:M54" si="9">L35*0.18</f>
        <v>900</v>
      </c>
      <c r="N35" s="37">
        <f t="shared" ref="N35:N44" si="10">L35+M35</f>
        <v>5900</v>
      </c>
      <c r="O35" s="38">
        <f>N35*4%</f>
        <v>236</v>
      </c>
      <c r="P35" s="39">
        <f>N35-O35</f>
        <v>5664</v>
      </c>
      <c r="Q35" s="23">
        <v>5664</v>
      </c>
      <c r="R35" s="39">
        <f>P35-Q35</f>
        <v>0</v>
      </c>
      <c r="S35" s="42" t="s">
        <v>116</v>
      </c>
      <c r="T35" s="42" t="s">
        <v>116</v>
      </c>
      <c r="U35" s="43">
        <v>307131956</v>
      </c>
    </row>
    <row r="36" spans="1:22" x14ac:dyDescent="0.3">
      <c r="A36" s="19" t="s">
        <v>19</v>
      </c>
      <c r="B36" s="19" t="s">
        <v>184</v>
      </c>
      <c r="C36" s="19" t="s">
        <v>185</v>
      </c>
      <c r="D36" s="20">
        <v>46149</v>
      </c>
      <c r="E36" s="20">
        <v>46147</v>
      </c>
      <c r="F36" s="21" t="s">
        <v>186</v>
      </c>
      <c r="G36" s="19" t="s">
        <v>70</v>
      </c>
      <c r="H36" s="19" t="s">
        <v>188</v>
      </c>
      <c r="I36" s="19" t="s">
        <v>72</v>
      </c>
      <c r="J36" s="19" t="s">
        <v>4</v>
      </c>
      <c r="K36" s="19" t="s">
        <v>187</v>
      </c>
      <c r="L36" s="23">
        <v>2100</v>
      </c>
      <c r="M36" s="23">
        <f t="shared" si="9"/>
        <v>378</v>
      </c>
      <c r="N36" s="37">
        <f t="shared" si="10"/>
        <v>2478</v>
      </c>
      <c r="O36" s="38">
        <v>99</v>
      </c>
      <c r="P36" s="39">
        <f t="shared" ref="P36:P54" si="11">N36-O36</f>
        <v>2379</v>
      </c>
      <c r="Q36" s="23">
        <v>2378.88</v>
      </c>
      <c r="R36" s="39">
        <f t="shared" ref="R36:R54" si="12">P36-Q36</f>
        <v>0.11999999999989086</v>
      </c>
      <c r="S36" s="42" t="s">
        <v>116</v>
      </c>
      <c r="T36" s="42" t="s">
        <v>116</v>
      </c>
      <c r="U36" s="43">
        <v>307235847</v>
      </c>
    </row>
    <row r="37" spans="1:22" x14ac:dyDescent="0.3">
      <c r="A37" s="19" t="s">
        <v>82</v>
      </c>
      <c r="B37" s="19" t="s">
        <v>107</v>
      </c>
      <c r="C37" s="19" t="s">
        <v>211</v>
      </c>
      <c r="D37" s="20">
        <v>46150</v>
      </c>
      <c r="F37" s="21" t="s">
        <v>121</v>
      </c>
      <c r="G37" s="19" t="s">
        <v>73</v>
      </c>
      <c r="J37" s="19" t="s">
        <v>4</v>
      </c>
      <c r="K37" s="19" t="s">
        <v>12</v>
      </c>
      <c r="L37" s="19">
        <v>3389.83</v>
      </c>
      <c r="M37" s="22">
        <f>L37*0.18</f>
        <v>610.1694</v>
      </c>
      <c r="N37" s="37">
        <f>L37+M37</f>
        <v>3999.9993999999997</v>
      </c>
      <c r="O37" s="38">
        <f>N37*4%</f>
        <v>159.999976</v>
      </c>
      <c r="P37" s="39">
        <f>N37-O37</f>
        <v>3839.9994239999996</v>
      </c>
      <c r="Q37" s="23">
        <v>3840</v>
      </c>
      <c r="R37" s="39">
        <f>P37-Q37</f>
        <v>-5.760000003647292E-4</v>
      </c>
      <c r="S37" s="40" t="s">
        <v>116</v>
      </c>
      <c r="T37" s="42" t="s">
        <v>116</v>
      </c>
      <c r="U37" s="43">
        <v>307159153</v>
      </c>
    </row>
    <row r="38" spans="1:22" x14ac:dyDescent="0.3">
      <c r="A38" s="19" t="s">
        <v>19</v>
      </c>
      <c r="B38" s="19" t="s">
        <v>1</v>
      </c>
      <c r="C38" s="19" t="s">
        <v>189</v>
      </c>
      <c r="D38" s="20">
        <v>46151</v>
      </c>
      <c r="E38" s="20">
        <v>46148</v>
      </c>
      <c r="F38" s="21" t="s">
        <v>49</v>
      </c>
      <c r="G38" s="19" t="s">
        <v>73</v>
      </c>
      <c r="H38" s="19" t="s">
        <v>63</v>
      </c>
      <c r="I38" s="19" t="s">
        <v>198</v>
      </c>
      <c r="J38" s="19" t="s">
        <v>4</v>
      </c>
      <c r="K38" s="19" t="s">
        <v>190</v>
      </c>
      <c r="L38" s="23">
        <v>2600</v>
      </c>
      <c r="M38" s="23">
        <f t="shared" si="9"/>
        <v>468</v>
      </c>
      <c r="N38" s="37">
        <f>L38+M38</f>
        <v>3068</v>
      </c>
      <c r="O38" s="38">
        <v>123</v>
      </c>
      <c r="P38" s="39">
        <f>N38-O38</f>
        <v>2945</v>
      </c>
      <c r="Q38" s="23">
        <v>2945</v>
      </c>
      <c r="R38" s="39">
        <f>P38-Q38</f>
        <v>0</v>
      </c>
      <c r="S38" s="42" t="s">
        <v>116</v>
      </c>
      <c r="T38" s="42" t="s">
        <v>116</v>
      </c>
      <c r="U38" s="43">
        <v>307244451</v>
      </c>
    </row>
    <row r="39" spans="1:22" x14ac:dyDescent="0.3">
      <c r="A39" s="19" t="s">
        <v>19</v>
      </c>
      <c r="B39" s="19" t="s">
        <v>8</v>
      </c>
      <c r="C39" s="19" t="s">
        <v>191</v>
      </c>
      <c r="D39" s="20">
        <v>46151</v>
      </c>
      <c r="E39" s="20">
        <v>46151</v>
      </c>
      <c r="F39" s="21" t="s">
        <v>192</v>
      </c>
      <c r="G39" s="19" t="s">
        <v>73</v>
      </c>
      <c r="H39" s="19" t="s">
        <v>199</v>
      </c>
      <c r="I39" s="19" t="s">
        <v>200</v>
      </c>
      <c r="J39" s="19" t="s">
        <v>4</v>
      </c>
      <c r="K39" s="19" t="s">
        <v>2</v>
      </c>
      <c r="L39" s="23">
        <v>5400</v>
      </c>
      <c r="M39" s="23">
        <f t="shared" si="9"/>
        <v>972</v>
      </c>
      <c r="N39" s="37">
        <f t="shared" si="10"/>
        <v>6372</v>
      </c>
      <c r="O39" s="38">
        <v>255</v>
      </c>
      <c r="P39" s="39">
        <f t="shared" si="11"/>
        <v>6117</v>
      </c>
      <c r="Q39" s="44">
        <f>3000+3117</f>
        <v>6117</v>
      </c>
      <c r="R39" s="39">
        <f>P39-Q39</f>
        <v>0</v>
      </c>
      <c r="S39" s="42" t="s">
        <v>116</v>
      </c>
      <c r="T39" s="42" t="s">
        <v>116</v>
      </c>
      <c r="U39" s="43">
        <v>307227750</v>
      </c>
    </row>
    <row r="40" spans="1:22" x14ac:dyDescent="0.3">
      <c r="A40" s="19" t="s">
        <v>19</v>
      </c>
      <c r="B40" s="19" t="s">
        <v>1</v>
      </c>
      <c r="C40" s="19" t="s">
        <v>193</v>
      </c>
      <c r="D40" s="20">
        <v>46151</v>
      </c>
      <c r="E40" s="20">
        <v>46151</v>
      </c>
      <c r="F40" s="21" t="s">
        <v>49</v>
      </c>
      <c r="G40" s="19" t="s">
        <v>73</v>
      </c>
      <c r="H40" s="19" t="s">
        <v>194</v>
      </c>
      <c r="I40" s="19" t="s">
        <v>195</v>
      </c>
      <c r="J40" s="19" t="s">
        <v>4</v>
      </c>
      <c r="K40" s="19" t="s">
        <v>2</v>
      </c>
      <c r="L40" s="23">
        <v>4700</v>
      </c>
      <c r="M40" s="23">
        <f t="shared" si="9"/>
        <v>846</v>
      </c>
      <c r="N40" s="37">
        <f t="shared" si="10"/>
        <v>5546</v>
      </c>
      <c r="O40" s="38">
        <v>222</v>
      </c>
      <c r="P40" s="39">
        <f t="shared" si="11"/>
        <v>5324</v>
      </c>
      <c r="Q40" s="44">
        <f>2000+3324</f>
        <v>5324</v>
      </c>
      <c r="R40" s="39">
        <f t="shared" si="12"/>
        <v>0</v>
      </c>
      <c r="S40" s="42" t="s">
        <v>116</v>
      </c>
      <c r="T40" s="42" t="s">
        <v>116</v>
      </c>
      <c r="U40" s="43">
        <v>307221967</v>
      </c>
    </row>
    <row r="41" spans="1:22" x14ac:dyDescent="0.3">
      <c r="A41" s="19" t="s">
        <v>19</v>
      </c>
      <c r="B41" s="19" t="s">
        <v>196</v>
      </c>
      <c r="C41" s="19" t="s">
        <v>197</v>
      </c>
      <c r="D41" s="20">
        <v>46151</v>
      </c>
      <c r="E41" s="20">
        <v>46151</v>
      </c>
      <c r="F41" s="21" t="s">
        <v>53</v>
      </c>
      <c r="G41" s="19" t="s">
        <v>73</v>
      </c>
      <c r="H41" s="19" t="s">
        <v>63</v>
      </c>
      <c r="I41" s="19" t="s">
        <v>64</v>
      </c>
      <c r="J41" s="19" t="s">
        <v>4</v>
      </c>
      <c r="K41" s="19" t="s">
        <v>12</v>
      </c>
      <c r="L41" s="23">
        <v>2700</v>
      </c>
      <c r="M41" s="23">
        <f t="shared" si="9"/>
        <v>486</v>
      </c>
      <c r="N41" s="37">
        <f t="shared" si="10"/>
        <v>3186</v>
      </c>
      <c r="O41" s="38">
        <v>128</v>
      </c>
      <c r="P41" s="39">
        <f t="shared" si="11"/>
        <v>3058</v>
      </c>
      <c r="Q41" s="44">
        <f>1000+2058</f>
        <v>3058</v>
      </c>
      <c r="R41" s="39">
        <f t="shared" si="12"/>
        <v>0</v>
      </c>
      <c r="S41" s="42" t="s">
        <v>116</v>
      </c>
      <c r="T41" s="42" t="s">
        <v>116</v>
      </c>
      <c r="U41" s="43">
        <v>307217639</v>
      </c>
    </row>
    <row r="42" spans="1:22" x14ac:dyDescent="0.3">
      <c r="A42" s="19" t="s">
        <v>82</v>
      </c>
      <c r="B42" s="19" t="s">
        <v>108</v>
      </c>
      <c r="C42" s="19" t="s">
        <v>279</v>
      </c>
      <c r="D42" s="20">
        <v>46151</v>
      </c>
      <c r="E42" s="20">
        <v>46151</v>
      </c>
      <c r="F42" s="21" t="s">
        <v>88</v>
      </c>
      <c r="G42" s="19" t="s">
        <v>59</v>
      </c>
      <c r="J42" s="19" t="s">
        <v>4</v>
      </c>
      <c r="K42" s="19" t="s">
        <v>12</v>
      </c>
      <c r="L42" s="23">
        <v>3500</v>
      </c>
      <c r="M42" s="22">
        <f>L42*0.18</f>
        <v>630</v>
      </c>
      <c r="N42" s="37">
        <f>L42+M42</f>
        <v>4130</v>
      </c>
      <c r="O42" s="38">
        <v>165</v>
      </c>
      <c r="P42" s="39">
        <f>N42-O42</f>
        <v>3965</v>
      </c>
      <c r="Q42" s="23">
        <f>200+3765</f>
        <v>3965</v>
      </c>
      <c r="R42" s="39">
        <f>P42-Q42</f>
        <v>0</v>
      </c>
      <c r="S42" s="42" t="s">
        <v>116</v>
      </c>
      <c r="T42" s="42" t="s">
        <v>116</v>
      </c>
      <c r="U42" s="43">
        <v>307883726</v>
      </c>
    </row>
    <row r="43" spans="1:22" x14ac:dyDescent="0.3">
      <c r="A43" s="19" t="s">
        <v>134</v>
      </c>
      <c r="B43" s="19" t="s">
        <v>201</v>
      </c>
      <c r="C43" s="19" t="s">
        <v>202</v>
      </c>
      <c r="D43" s="20">
        <v>46146</v>
      </c>
      <c r="E43" s="20">
        <v>46146</v>
      </c>
      <c r="F43" s="21" t="s">
        <v>135</v>
      </c>
      <c r="G43" s="19" t="s">
        <v>203</v>
      </c>
      <c r="H43" s="19" t="s">
        <v>205</v>
      </c>
      <c r="I43" s="19" t="s">
        <v>205</v>
      </c>
      <c r="J43" s="19" t="s">
        <v>4</v>
      </c>
      <c r="K43" s="19" t="s">
        <v>242</v>
      </c>
      <c r="L43" s="23">
        <v>5300</v>
      </c>
      <c r="M43" s="23">
        <f t="shared" si="9"/>
        <v>954</v>
      </c>
      <c r="N43" s="37">
        <f t="shared" si="10"/>
        <v>6254</v>
      </c>
      <c r="O43" s="38">
        <v>251</v>
      </c>
      <c r="P43" s="39">
        <f t="shared" si="11"/>
        <v>6003</v>
      </c>
      <c r="Q43" s="23">
        <v>6003</v>
      </c>
      <c r="R43" s="39">
        <f t="shared" si="12"/>
        <v>0</v>
      </c>
      <c r="S43" s="42" t="s">
        <v>116</v>
      </c>
      <c r="T43" s="42" t="s">
        <v>116</v>
      </c>
      <c r="U43" s="43">
        <v>307137832</v>
      </c>
    </row>
    <row r="44" spans="1:22" x14ac:dyDescent="0.3">
      <c r="A44" s="19" t="s">
        <v>20</v>
      </c>
      <c r="B44" s="19" t="s">
        <v>3</v>
      </c>
      <c r="C44" s="19" t="s">
        <v>206</v>
      </c>
      <c r="D44" s="20">
        <v>46153</v>
      </c>
      <c r="E44" s="20">
        <v>46153</v>
      </c>
      <c r="G44" s="19" t="s">
        <v>59</v>
      </c>
      <c r="H44" s="19" t="s">
        <v>205</v>
      </c>
      <c r="I44" s="19" t="s">
        <v>205</v>
      </c>
      <c r="J44" s="19" t="s">
        <v>4</v>
      </c>
      <c r="K44" s="19" t="s">
        <v>5</v>
      </c>
      <c r="L44" s="23">
        <v>1000</v>
      </c>
      <c r="M44" s="23">
        <f t="shared" si="9"/>
        <v>180</v>
      </c>
      <c r="N44" s="37">
        <f t="shared" si="10"/>
        <v>1180</v>
      </c>
      <c r="O44" s="38">
        <v>47</v>
      </c>
      <c r="P44" s="39">
        <f t="shared" si="11"/>
        <v>1133</v>
      </c>
      <c r="Q44" s="19">
        <v>1133</v>
      </c>
      <c r="R44" s="39">
        <f t="shared" si="12"/>
        <v>0</v>
      </c>
      <c r="S44" s="42" t="s">
        <v>116</v>
      </c>
      <c r="T44" s="42" t="s">
        <v>116</v>
      </c>
      <c r="U44" s="43">
        <v>307124268</v>
      </c>
    </row>
    <row r="45" spans="1:22" x14ac:dyDescent="0.3">
      <c r="A45" s="19" t="s">
        <v>134</v>
      </c>
      <c r="B45" s="19" t="s">
        <v>201</v>
      </c>
      <c r="C45" s="19" t="s">
        <v>240</v>
      </c>
      <c r="D45" s="20">
        <v>46166</v>
      </c>
      <c r="E45" s="20">
        <v>46154</v>
      </c>
      <c r="F45" s="21" t="s">
        <v>135</v>
      </c>
      <c r="G45" s="19" t="s">
        <v>73</v>
      </c>
      <c r="J45" s="19" t="s">
        <v>4</v>
      </c>
      <c r="K45" s="19" t="s">
        <v>241</v>
      </c>
      <c r="L45" s="23">
        <v>5300</v>
      </c>
      <c r="M45" s="22">
        <f>L45*0.18</f>
        <v>954</v>
      </c>
      <c r="N45" s="37">
        <f>L45+M45</f>
        <v>6254</v>
      </c>
      <c r="O45" s="38">
        <v>251</v>
      </c>
      <c r="P45" s="39">
        <f t="shared" si="11"/>
        <v>6003</v>
      </c>
      <c r="Q45" s="23">
        <v>6003</v>
      </c>
      <c r="R45" s="39">
        <f t="shared" si="12"/>
        <v>0</v>
      </c>
      <c r="S45" s="42" t="s">
        <v>116</v>
      </c>
      <c r="T45" s="42" t="s">
        <v>116</v>
      </c>
      <c r="U45" s="43">
        <v>307134793</v>
      </c>
      <c r="V45" s="19">
        <v>6040346</v>
      </c>
    </row>
    <row r="46" spans="1:22" x14ac:dyDescent="0.3">
      <c r="A46" s="19" t="s">
        <v>19</v>
      </c>
      <c r="B46" s="19" t="s">
        <v>184</v>
      </c>
      <c r="C46" s="19" t="s">
        <v>207</v>
      </c>
      <c r="D46" s="20">
        <v>46154</v>
      </c>
      <c r="E46" s="20">
        <v>46154</v>
      </c>
      <c r="F46" s="21" t="s">
        <v>209</v>
      </c>
      <c r="G46" s="19" t="s">
        <v>59</v>
      </c>
      <c r="J46" s="19" t="s">
        <v>4</v>
      </c>
      <c r="K46" s="19" t="s">
        <v>2</v>
      </c>
      <c r="L46" s="23">
        <v>4700</v>
      </c>
      <c r="M46" s="23">
        <f t="shared" si="9"/>
        <v>846</v>
      </c>
      <c r="N46" s="37">
        <f t="shared" ref="N46:N54" si="13">L46+M46</f>
        <v>5546</v>
      </c>
      <c r="O46" s="38">
        <v>222</v>
      </c>
      <c r="P46" s="39">
        <f t="shared" si="11"/>
        <v>5324</v>
      </c>
      <c r="Q46" s="44">
        <f>2000+3324</f>
        <v>5324</v>
      </c>
      <c r="R46" s="39">
        <f t="shared" si="12"/>
        <v>0</v>
      </c>
      <c r="S46" s="40" t="s">
        <v>116</v>
      </c>
      <c r="T46" s="40" t="s">
        <v>116</v>
      </c>
      <c r="U46" s="43">
        <v>307211563</v>
      </c>
    </row>
    <row r="47" spans="1:22" x14ac:dyDescent="0.3">
      <c r="A47" s="19" t="s">
        <v>19</v>
      </c>
      <c r="B47" s="19" t="s">
        <v>184</v>
      </c>
      <c r="C47" s="19" t="s">
        <v>208</v>
      </c>
      <c r="D47" s="20">
        <v>46154</v>
      </c>
      <c r="E47" s="20">
        <v>46154</v>
      </c>
      <c r="F47" s="21" t="s">
        <v>186</v>
      </c>
      <c r="G47" s="19" t="s">
        <v>73</v>
      </c>
      <c r="J47" s="19" t="s">
        <v>4</v>
      </c>
      <c r="K47" s="19" t="s">
        <v>2</v>
      </c>
      <c r="L47" s="23">
        <v>4700</v>
      </c>
      <c r="M47" s="22">
        <f t="shared" si="9"/>
        <v>846</v>
      </c>
      <c r="N47" s="37">
        <f t="shared" si="13"/>
        <v>5546</v>
      </c>
      <c r="O47" s="38">
        <v>222</v>
      </c>
      <c r="P47" s="39">
        <f t="shared" si="11"/>
        <v>5324</v>
      </c>
      <c r="Q47" s="44">
        <f>2000+3324</f>
        <v>5324</v>
      </c>
      <c r="R47" s="39">
        <f t="shared" si="12"/>
        <v>0</v>
      </c>
      <c r="S47" s="40" t="s">
        <v>116</v>
      </c>
      <c r="T47" s="40" t="s">
        <v>116</v>
      </c>
      <c r="U47" s="43">
        <v>307143802</v>
      </c>
    </row>
    <row r="48" spans="1:22" x14ac:dyDescent="0.3">
      <c r="A48" s="19" t="s">
        <v>19</v>
      </c>
      <c r="B48" s="19" t="s">
        <v>1</v>
      </c>
      <c r="C48" s="19" t="s">
        <v>210</v>
      </c>
      <c r="D48" s="20">
        <v>46154</v>
      </c>
      <c r="E48" s="20">
        <v>46153</v>
      </c>
      <c r="F48" s="21" t="s">
        <v>48</v>
      </c>
      <c r="G48" s="19" t="s">
        <v>73</v>
      </c>
      <c r="J48" s="19" t="s">
        <v>4</v>
      </c>
      <c r="K48" s="19" t="s">
        <v>9</v>
      </c>
      <c r="L48" s="23">
        <v>5600</v>
      </c>
      <c r="M48" s="22">
        <f t="shared" si="9"/>
        <v>1008</v>
      </c>
      <c r="N48" s="37">
        <f t="shared" si="13"/>
        <v>6608</v>
      </c>
      <c r="O48" s="38">
        <v>265</v>
      </c>
      <c r="P48" s="39">
        <f t="shared" si="11"/>
        <v>6343</v>
      </c>
      <c r="Q48" s="45">
        <f>3000+3343</f>
        <v>6343</v>
      </c>
      <c r="R48" s="39">
        <f t="shared" si="12"/>
        <v>0</v>
      </c>
      <c r="S48" s="40" t="s">
        <v>116</v>
      </c>
      <c r="T48" s="40" t="s">
        <v>116</v>
      </c>
      <c r="U48" s="43">
        <v>307208195</v>
      </c>
    </row>
    <row r="49" spans="1:26" x14ac:dyDescent="0.3">
      <c r="A49" s="19" t="s">
        <v>19</v>
      </c>
      <c r="B49" s="19" t="s">
        <v>104</v>
      </c>
      <c r="C49" s="19" t="s">
        <v>224</v>
      </c>
      <c r="D49" s="20">
        <v>46155</v>
      </c>
      <c r="E49" s="20">
        <v>46155</v>
      </c>
      <c r="F49" s="21" t="s">
        <v>225</v>
      </c>
      <c r="G49" s="19" t="s">
        <v>73</v>
      </c>
      <c r="J49" s="19" t="s">
        <v>4</v>
      </c>
      <c r="K49" s="19" t="s">
        <v>128</v>
      </c>
      <c r="L49" s="23">
        <v>7000</v>
      </c>
      <c r="M49" s="22">
        <f t="shared" si="9"/>
        <v>1260</v>
      </c>
      <c r="N49" s="37">
        <f t="shared" si="13"/>
        <v>8260</v>
      </c>
      <c r="O49" s="38">
        <v>331</v>
      </c>
      <c r="P49" s="39">
        <f t="shared" si="11"/>
        <v>7929</v>
      </c>
      <c r="Q49" s="45">
        <f>3000+4929</f>
        <v>7929</v>
      </c>
      <c r="R49" s="39">
        <f t="shared" si="12"/>
        <v>0</v>
      </c>
      <c r="S49" s="42" t="s">
        <v>116</v>
      </c>
      <c r="T49" s="42" t="s">
        <v>116</v>
      </c>
      <c r="U49" s="43">
        <v>307211563</v>
      </c>
    </row>
    <row r="50" spans="1:26" x14ac:dyDescent="0.3">
      <c r="A50" s="19" t="s">
        <v>19</v>
      </c>
      <c r="B50" s="19" t="s">
        <v>104</v>
      </c>
      <c r="C50" s="19" t="s">
        <v>222</v>
      </c>
      <c r="D50" s="20">
        <v>46157</v>
      </c>
      <c r="E50" s="20">
        <v>46157</v>
      </c>
      <c r="F50" s="21" t="s">
        <v>223</v>
      </c>
      <c r="G50" s="19" t="s">
        <v>59</v>
      </c>
      <c r="H50" s="19" t="s">
        <v>194</v>
      </c>
      <c r="I50" s="19" t="s">
        <v>64</v>
      </c>
      <c r="J50" s="19" t="s">
        <v>4</v>
      </c>
      <c r="K50" s="19" t="s">
        <v>12</v>
      </c>
      <c r="L50" s="23">
        <v>2700</v>
      </c>
      <c r="M50" s="22">
        <f>L50*0.18</f>
        <v>486</v>
      </c>
      <c r="N50" s="37">
        <f>L50+M50</f>
        <v>3186</v>
      </c>
      <c r="O50" s="38">
        <v>128</v>
      </c>
      <c r="P50" s="39">
        <f>N50-O50</f>
        <v>3058</v>
      </c>
      <c r="Q50" s="44">
        <f>1000+2058</f>
        <v>3058</v>
      </c>
      <c r="R50" s="39">
        <f>P50-Q50</f>
        <v>0</v>
      </c>
      <c r="S50" s="40" t="s">
        <v>116</v>
      </c>
      <c r="T50" s="40" t="s">
        <v>116</v>
      </c>
      <c r="U50" s="43">
        <v>307239781</v>
      </c>
    </row>
    <row r="51" spans="1:26" x14ac:dyDescent="0.3">
      <c r="A51" s="19" t="s">
        <v>19</v>
      </c>
      <c r="B51" s="19" t="s">
        <v>1</v>
      </c>
      <c r="C51" s="19" t="s">
        <v>220</v>
      </c>
      <c r="D51" s="20">
        <v>46159</v>
      </c>
      <c r="E51" s="20">
        <v>46158</v>
      </c>
      <c r="F51" s="21" t="s">
        <v>49</v>
      </c>
      <c r="G51" s="19" t="s">
        <v>73</v>
      </c>
      <c r="H51" s="19" t="s">
        <v>63</v>
      </c>
      <c r="I51" s="19" t="s">
        <v>198</v>
      </c>
      <c r="J51" s="19" t="s">
        <v>4</v>
      </c>
      <c r="K51" s="19" t="s">
        <v>221</v>
      </c>
      <c r="L51" s="23">
        <v>5200</v>
      </c>
      <c r="M51" s="22">
        <f>L51*0.18</f>
        <v>936</v>
      </c>
      <c r="N51" s="37">
        <f>L51+M51</f>
        <v>6136</v>
      </c>
      <c r="O51" s="38">
        <v>246</v>
      </c>
      <c r="P51" s="39">
        <f>N51-O51</f>
        <v>5890</v>
      </c>
      <c r="Q51" s="45">
        <f>2000+3890</f>
        <v>5890</v>
      </c>
      <c r="R51" s="39">
        <f>P51-Q51</f>
        <v>0</v>
      </c>
      <c r="S51" s="42" t="s">
        <v>116</v>
      </c>
      <c r="T51" s="42" t="s">
        <v>116</v>
      </c>
      <c r="U51" s="43">
        <v>307182557</v>
      </c>
    </row>
    <row r="52" spans="1:26" x14ac:dyDescent="0.3">
      <c r="A52" s="19" t="s">
        <v>82</v>
      </c>
      <c r="B52" s="19" t="s">
        <v>107</v>
      </c>
      <c r="C52" s="19" t="s">
        <v>218</v>
      </c>
      <c r="D52" s="20">
        <v>46160</v>
      </c>
      <c r="E52" s="20">
        <v>46160</v>
      </c>
      <c r="F52" s="21" t="s">
        <v>78</v>
      </c>
      <c r="G52" s="19" t="s">
        <v>73</v>
      </c>
      <c r="J52" s="19" t="s">
        <v>4</v>
      </c>
      <c r="K52" s="19" t="s">
        <v>219</v>
      </c>
      <c r="L52" s="23">
        <v>5593.22</v>
      </c>
      <c r="M52" s="22">
        <f>L52*0.18</f>
        <v>1006.7796</v>
      </c>
      <c r="N52" s="37">
        <f>L52+M52</f>
        <v>6599.9996000000001</v>
      </c>
      <c r="O52" s="38">
        <f>N52*4%</f>
        <v>263.99998399999998</v>
      </c>
      <c r="P52" s="39">
        <f>N52-O52</f>
        <v>6335.9996160000001</v>
      </c>
      <c r="Q52" s="23">
        <v>6336</v>
      </c>
      <c r="R52" s="39">
        <f>P52-Q52</f>
        <v>-3.839999999399879E-4</v>
      </c>
      <c r="S52" s="40" t="s">
        <v>116</v>
      </c>
      <c r="T52" s="42" t="s">
        <v>116</v>
      </c>
      <c r="U52" s="43">
        <v>307143802</v>
      </c>
    </row>
    <row r="53" spans="1:26" ht="14.4" customHeight="1" x14ac:dyDescent="0.3">
      <c r="A53" s="19" t="s">
        <v>19</v>
      </c>
      <c r="B53" s="19" t="s">
        <v>16</v>
      </c>
      <c r="C53" s="19" t="s">
        <v>212</v>
      </c>
      <c r="D53" s="20">
        <v>46161</v>
      </c>
      <c r="E53" s="20">
        <v>46160</v>
      </c>
      <c r="F53" s="21" t="s">
        <v>213</v>
      </c>
      <c r="G53" s="19" t="s">
        <v>73</v>
      </c>
      <c r="H53" s="19" t="s">
        <v>214</v>
      </c>
      <c r="I53" s="19" t="s">
        <v>215</v>
      </c>
      <c r="J53" s="19" t="s">
        <v>4</v>
      </c>
      <c r="K53" s="19" t="s">
        <v>2</v>
      </c>
      <c r="L53" s="25">
        <v>5300</v>
      </c>
      <c r="M53" s="22">
        <f>L53*0.18</f>
        <v>954</v>
      </c>
      <c r="N53" s="37">
        <f>L53+M53</f>
        <v>6254</v>
      </c>
      <c r="O53" s="38">
        <v>251</v>
      </c>
      <c r="P53" s="39">
        <f>N53-O53</f>
        <v>6003</v>
      </c>
      <c r="Q53" s="45">
        <f>2000+4003</f>
        <v>6003</v>
      </c>
      <c r="R53" s="39">
        <f>P53-Q53</f>
        <v>0</v>
      </c>
      <c r="S53" s="42" t="s">
        <v>116</v>
      </c>
      <c r="T53" s="42" t="s">
        <v>116</v>
      </c>
      <c r="U53" s="43">
        <v>307204745</v>
      </c>
    </row>
    <row r="54" spans="1:26" x14ac:dyDescent="0.3">
      <c r="A54" s="19" t="s">
        <v>19</v>
      </c>
      <c r="B54" s="19" t="s">
        <v>1</v>
      </c>
      <c r="C54" s="19" t="s">
        <v>216</v>
      </c>
      <c r="D54" s="20">
        <v>46162</v>
      </c>
      <c r="E54" s="20">
        <v>46160</v>
      </c>
      <c r="F54" s="21" t="s">
        <v>48</v>
      </c>
      <c r="G54" s="19" t="s">
        <v>73</v>
      </c>
      <c r="H54" s="19" t="s">
        <v>63</v>
      </c>
      <c r="I54" s="19" t="s">
        <v>64</v>
      </c>
      <c r="J54" s="19" t="s">
        <v>4</v>
      </c>
      <c r="K54" s="19" t="s">
        <v>217</v>
      </c>
      <c r="L54" s="25">
        <v>4200</v>
      </c>
      <c r="M54" s="22">
        <f t="shared" si="9"/>
        <v>756</v>
      </c>
      <c r="N54" s="37">
        <f t="shared" si="13"/>
        <v>4956</v>
      </c>
      <c r="O54" s="38">
        <v>199</v>
      </c>
      <c r="P54" s="39">
        <f t="shared" si="11"/>
        <v>4757</v>
      </c>
      <c r="Q54" s="45">
        <f>1500+266+2991</f>
        <v>4757</v>
      </c>
      <c r="R54" s="39">
        <f t="shared" si="12"/>
        <v>0</v>
      </c>
      <c r="S54" s="42" t="s">
        <v>116</v>
      </c>
      <c r="T54" s="42" t="s">
        <v>116</v>
      </c>
      <c r="U54" s="43">
        <v>307178573</v>
      </c>
    </row>
    <row r="55" spans="1:26" x14ac:dyDescent="0.3">
      <c r="A55" s="19" t="s">
        <v>19</v>
      </c>
      <c r="B55" s="19" t="s">
        <v>16</v>
      </c>
      <c r="C55" s="19" t="s">
        <v>226</v>
      </c>
      <c r="D55" s="20">
        <v>46162</v>
      </c>
      <c r="E55" s="20">
        <v>46162</v>
      </c>
      <c r="F55" s="21" t="s">
        <v>52</v>
      </c>
      <c r="G55" s="19" t="s">
        <v>73</v>
      </c>
      <c r="H55" s="19" t="s">
        <v>227</v>
      </c>
      <c r="I55" s="19" t="s">
        <v>228</v>
      </c>
      <c r="J55" s="19" t="s">
        <v>4</v>
      </c>
      <c r="K55" s="19" t="s">
        <v>9</v>
      </c>
      <c r="L55" s="25">
        <v>6600</v>
      </c>
      <c r="M55" s="22">
        <f t="shared" ref="M55:M62" si="14">L55*0.18</f>
        <v>1188</v>
      </c>
      <c r="N55" s="37">
        <f t="shared" ref="N55:N62" si="15">L55+M55</f>
        <v>7788</v>
      </c>
      <c r="O55" s="38">
        <v>312</v>
      </c>
      <c r="P55" s="39">
        <f t="shared" ref="P55:P62" si="16">N55-O55</f>
        <v>7476</v>
      </c>
      <c r="Q55" s="45">
        <f>3000+4476</f>
        <v>7476</v>
      </c>
      <c r="R55" s="39">
        <f t="shared" ref="R55:R62" si="17">P55-Q55</f>
        <v>0</v>
      </c>
      <c r="S55" s="42" t="s">
        <v>116</v>
      </c>
      <c r="T55" s="42" t="s">
        <v>116</v>
      </c>
      <c r="U55" s="43">
        <v>307190519</v>
      </c>
    </row>
    <row r="56" spans="1:26" x14ac:dyDescent="0.3">
      <c r="A56" s="19" t="s">
        <v>19</v>
      </c>
      <c r="B56" s="19" t="s">
        <v>16</v>
      </c>
      <c r="C56" s="19" t="s">
        <v>236</v>
      </c>
      <c r="D56" s="20">
        <v>46168</v>
      </c>
      <c r="E56" s="20">
        <v>46167</v>
      </c>
      <c r="F56" s="21" t="s">
        <v>213</v>
      </c>
      <c r="G56" s="19" t="s">
        <v>73</v>
      </c>
      <c r="H56" s="19" t="s">
        <v>237</v>
      </c>
      <c r="I56" s="19" t="s">
        <v>238</v>
      </c>
      <c r="J56" s="19" t="s">
        <v>4</v>
      </c>
      <c r="K56" s="19" t="s">
        <v>101</v>
      </c>
      <c r="L56" s="25">
        <v>2700</v>
      </c>
      <c r="M56" s="22">
        <f t="shared" si="14"/>
        <v>486</v>
      </c>
      <c r="N56" s="37">
        <f t="shared" si="15"/>
        <v>3186</v>
      </c>
      <c r="O56" s="38">
        <v>128</v>
      </c>
      <c r="P56" s="39">
        <f t="shared" si="16"/>
        <v>3058</v>
      </c>
      <c r="Q56" s="45">
        <f>1000+2058</f>
        <v>3058</v>
      </c>
      <c r="R56" s="39">
        <f t="shared" si="17"/>
        <v>0</v>
      </c>
      <c r="S56" s="42" t="s">
        <v>116</v>
      </c>
      <c r="T56" s="42" t="s">
        <v>116</v>
      </c>
      <c r="U56" s="43">
        <v>307175341</v>
      </c>
    </row>
    <row r="57" spans="1:26" x14ac:dyDescent="0.3">
      <c r="A57" s="19" t="s">
        <v>19</v>
      </c>
      <c r="B57" s="19" t="s">
        <v>1</v>
      </c>
      <c r="C57" s="19" t="s">
        <v>243</v>
      </c>
      <c r="D57" s="20">
        <v>46169</v>
      </c>
      <c r="E57" s="20">
        <v>46169</v>
      </c>
      <c r="F57" s="21" t="s">
        <v>244</v>
      </c>
      <c r="G57" s="19" t="s">
        <v>70</v>
      </c>
      <c r="H57" s="19" t="s">
        <v>63</v>
      </c>
      <c r="I57" s="19" t="s">
        <v>64</v>
      </c>
      <c r="J57" s="19" t="s">
        <v>4</v>
      </c>
      <c r="K57" s="19" t="s">
        <v>187</v>
      </c>
      <c r="L57" s="25">
        <v>2500</v>
      </c>
      <c r="M57" s="22">
        <f t="shared" si="14"/>
        <v>450</v>
      </c>
      <c r="N57" s="37">
        <f t="shared" si="15"/>
        <v>2950</v>
      </c>
      <c r="O57" s="38">
        <f>N57*4%</f>
        <v>118</v>
      </c>
      <c r="P57" s="39">
        <f t="shared" si="16"/>
        <v>2832</v>
      </c>
      <c r="Q57" s="23">
        <f>1000+1832</f>
        <v>2832</v>
      </c>
      <c r="R57" s="39">
        <f t="shared" si="17"/>
        <v>0</v>
      </c>
      <c r="S57" s="42" t="s">
        <v>116</v>
      </c>
      <c r="T57" s="42" t="s">
        <v>116</v>
      </c>
      <c r="U57" s="43">
        <v>307169629</v>
      </c>
    </row>
    <row r="58" spans="1:26" x14ac:dyDescent="0.3">
      <c r="A58" s="19" t="s">
        <v>19</v>
      </c>
      <c r="B58" s="19" t="s">
        <v>21</v>
      </c>
      <c r="C58" s="19" t="s">
        <v>246</v>
      </c>
      <c r="D58" s="20">
        <v>46170</v>
      </c>
      <c r="E58" s="20">
        <v>46170</v>
      </c>
      <c r="F58" s="21" t="s">
        <v>50</v>
      </c>
      <c r="G58" s="19" t="s">
        <v>73</v>
      </c>
      <c r="H58" s="19" t="s">
        <v>194</v>
      </c>
      <c r="I58" s="19" t="s">
        <v>247</v>
      </c>
      <c r="J58" s="19" t="s">
        <v>4</v>
      </c>
      <c r="K58" s="19" t="s">
        <v>219</v>
      </c>
      <c r="L58" s="25">
        <v>4600</v>
      </c>
      <c r="M58" s="22">
        <f t="shared" si="14"/>
        <v>828</v>
      </c>
      <c r="N58" s="37">
        <f t="shared" si="15"/>
        <v>5428</v>
      </c>
      <c r="O58" s="38">
        <v>218</v>
      </c>
      <c r="P58" s="39">
        <f t="shared" si="16"/>
        <v>5210</v>
      </c>
      <c r="Q58" s="23">
        <f>1500+3710</f>
        <v>5210</v>
      </c>
      <c r="R58" s="39">
        <f t="shared" si="17"/>
        <v>0</v>
      </c>
      <c r="S58" s="42" t="s">
        <v>116</v>
      </c>
      <c r="T58" s="42" t="s">
        <v>116</v>
      </c>
      <c r="U58" s="43">
        <v>307162515</v>
      </c>
      <c r="V58" s="19">
        <v>6097005</v>
      </c>
    </row>
    <row r="59" spans="1:26" x14ac:dyDescent="0.3">
      <c r="A59" s="19" t="s">
        <v>19</v>
      </c>
      <c r="B59" s="19" t="s">
        <v>104</v>
      </c>
      <c r="C59" s="19" t="s">
        <v>245</v>
      </c>
      <c r="D59" s="20">
        <v>46173</v>
      </c>
      <c r="E59" s="20">
        <v>46172</v>
      </c>
      <c r="F59" s="21" t="s">
        <v>213</v>
      </c>
      <c r="G59" s="19" t="s">
        <v>73</v>
      </c>
      <c r="H59" s="19" t="s">
        <v>237</v>
      </c>
      <c r="I59" s="19" t="s">
        <v>238</v>
      </c>
      <c r="J59" s="19" t="s">
        <v>4</v>
      </c>
      <c r="K59" s="19" t="s">
        <v>2</v>
      </c>
      <c r="L59" s="25">
        <v>6500</v>
      </c>
      <c r="M59" s="22">
        <f t="shared" si="14"/>
        <v>1170</v>
      </c>
      <c r="N59" s="37">
        <f t="shared" si="15"/>
        <v>7670</v>
      </c>
      <c r="O59" s="38">
        <v>307</v>
      </c>
      <c r="P59" s="39">
        <f t="shared" si="16"/>
        <v>7363</v>
      </c>
      <c r="Q59" s="23">
        <f>4363+3000</f>
        <v>7363</v>
      </c>
      <c r="R59" s="39">
        <f t="shared" si="17"/>
        <v>0</v>
      </c>
      <c r="S59" s="42" t="s">
        <v>116</v>
      </c>
      <c r="T59" s="42" t="s">
        <v>116</v>
      </c>
      <c r="U59" s="43">
        <v>307167761</v>
      </c>
    </row>
    <row r="60" spans="1:26" x14ac:dyDescent="0.3">
      <c r="A60" s="19" t="s">
        <v>19</v>
      </c>
      <c r="B60" s="19" t="s">
        <v>16</v>
      </c>
      <c r="C60" s="19" t="s">
        <v>248</v>
      </c>
      <c r="D60" s="20">
        <v>46174</v>
      </c>
      <c r="E60" s="20">
        <v>46172</v>
      </c>
      <c r="F60" s="21" t="s">
        <v>52</v>
      </c>
      <c r="G60" s="19" t="s">
        <v>73</v>
      </c>
      <c r="H60" s="19" t="s">
        <v>194</v>
      </c>
      <c r="I60" s="19" t="s">
        <v>249</v>
      </c>
      <c r="J60" s="19" t="s">
        <v>4</v>
      </c>
      <c r="K60" s="19" t="s">
        <v>420</v>
      </c>
      <c r="L60" s="25">
        <v>7200</v>
      </c>
      <c r="M60" s="22">
        <f t="shared" si="14"/>
        <v>1296</v>
      </c>
      <c r="N60" s="37">
        <f t="shared" si="15"/>
        <v>8496</v>
      </c>
      <c r="O60" s="38">
        <v>340</v>
      </c>
      <c r="P60" s="46">
        <f t="shared" si="16"/>
        <v>8156</v>
      </c>
      <c r="Q60" s="22">
        <f>2000</f>
        <v>2000</v>
      </c>
      <c r="R60" s="46">
        <f t="shared" si="17"/>
        <v>6156</v>
      </c>
      <c r="S60" s="42" t="s">
        <v>116</v>
      </c>
      <c r="T60" s="42" t="s">
        <v>116</v>
      </c>
      <c r="U60" s="47">
        <v>309181549</v>
      </c>
      <c r="V60" s="48">
        <v>6131670</v>
      </c>
    </row>
    <row r="61" spans="1:26" x14ac:dyDescent="0.3">
      <c r="A61" s="19" t="s">
        <v>19</v>
      </c>
      <c r="B61" s="19" t="s">
        <v>1</v>
      </c>
      <c r="C61" s="19" t="s">
        <v>259</v>
      </c>
      <c r="D61" s="20">
        <v>46175</v>
      </c>
      <c r="E61" s="20">
        <v>46172</v>
      </c>
      <c r="F61" s="21" t="s">
        <v>48</v>
      </c>
      <c r="G61" s="19" t="s">
        <v>73</v>
      </c>
      <c r="H61" s="19" t="s">
        <v>237</v>
      </c>
      <c r="I61" s="19" t="s">
        <v>260</v>
      </c>
      <c r="J61" s="19" t="s">
        <v>4</v>
      </c>
      <c r="K61" s="19" t="s">
        <v>261</v>
      </c>
      <c r="L61" s="25">
        <v>3000</v>
      </c>
      <c r="M61" s="22">
        <f t="shared" si="14"/>
        <v>540</v>
      </c>
      <c r="N61" s="37">
        <f t="shared" si="15"/>
        <v>3540</v>
      </c>
      <c r="O61" s="38">
        <v>142</v>
      </c>
      <c r="P61" s="46">
        <f t="shared" si="16"/>
        <v>3398</v>
      </c>
      <c r="Q61" s="22">
        <v>3398</v>
      </c>
      <c r="R61" s="39">
        <f t="shared" si="17"/>
        <v>0</v>
      </c>
      <c r="S61" s="42" t="s">
        <v>116</v>
      </c>
      <c r="T61" s="42" t="s">
        <v>116</v>
      </c>
      <c r="U61" s="47">
        <v>307512590</v>
      </c>
    </row>
    <row r="62" spans="1:26" x14ac:dyDescent="0.3">
      <c r="A62" s="19" t="s">
        <v>19</v>
      </c>
      <c r="B62" s="19" t="s">
        <v>1</v>
      </c>
      <c r="C62" s="19" t="s">
        <v>250</v>
      </c>
      <c r="D62" s="20">
        <v>46176</v>
      </c>
      <c r="E62" s="20">
        <v>46172</v>
      </c>
      <c r="F62" s="21" t="s">
        <v>251</v>
      </c>
      <c r="G62" s="19" t="s">
        <v>73</v>
      </c>
      <c r="H62" s="19" t="s">
        <v>237</v>
      </c>
      <c r="I62" s="19" t="s">
        <v>249</v>
      </c>
      <c r="J62" s="19" t="s">
        <v>4</v>
      </c>
      <c r="K62" s="19" t="s">
        <v>421</v>
      </c>
      <c r="L62" s="25">
        <v>5250</v>
      </c>
      <c r="M62" s="22">
        <f t="shared" si="14"/>
        <v>945</v>
      </c>
      <c r="N62" s="37">
        <f t="shared" si="15"/>
        <v>6195</v>
      </c>
      <c r="O62" s="38">
        <v>248</v>
      </c>
      <c r="P62" s="46">
        <f t="shared" si="16"/>
        <v>5947</v>
      </c>
      <c r="Q62" s="22">
        <f>2000+3947</f>
        <v>5947</v>
      </c>
      <c r="R62" s="39">
        <f t="shared" si="17"/>
        <v>0</v>
      </c>
      <c r="S62" s="42" t="s">
        <v>116</v>
      </c>
      <c r="T62" s="42" t="s">
        <v>116</v>
      </c>
      <c r="U62" s="47">
        <v>307515248</v>
      </c>
      <c r="V62" s="19">
        <v>6095793</v>
      </c>
    </row>
    <row r="63" spans="1:26" x14ac:dyDescent="0.3">
      <c r="A63" s="19" t="s">
        <v>19</v>
      </c>
      <c r="B63" s="19" t="s">
        <v>16</v>
      </c>
      <c r="C63" s="19" t="s">
        <v>252</v>
      </c>
      <c r="D63" s="20">
        <v>46177</v>
      </c>
      <c r="E63" s="20">
        <v>46172</v>
      </c>
      <c r="F63" s="21" t="s">
        <v>52</v>
      </c>
      <c r="G63" s="19" t="s">
        <v>73</v>
      </c>
      <c r="K63" s="19" t="s">
        <v>253</v>
      </c>
      <c r="L63" s="25">
        <v>200</v>
      </c>
      <c r="M63" s="22">
        <f t="shared" ref="M63:M68" si="18">L63*0.18</f>
        <v>36</v>
      </c>
      <c r="N63" s="37">
        <f t="shared" ref="N63:N68" si="19">L63+M63</f>
        <v>236</v>
      </c>
      <c r="O63" s="38">
        <v>0</v>
      </c>
      <c r="P63" s="46">
        <f t="shared" ref="P63:P68" si="20">N63-O63</f>
        <v>236</v>
      </c>
      <c r="Q63" s="22">
        <v>236</v>
      </c>
      <c r="R63" s="39">
        <f t="shared" ref="R63:R68" si="21">P63-Q63</f>
        <v>0</v>
      </c>
      <c r="S63" s="42" t="s">
        <v>116</v>
      </c>
      <c r="T63" s="49" t="s">
        <v>270</v>
      </c>
      <c r="U63" s="19" t="s">
        <v>205</v>
      </c>
      <c r="V63" s="19">
        <v>6095604</v>
      </c>
      <c r="W63" s="61" t="s">
        <v>277</v>
      </c>
      <c r="X63" s="61"/>
      <c r="Y63" s="61"/>
      <c r="Z63" s="61"/>
    </row>
    <row r="64" spans="1:26" x14ac:dyDescent="0.3">
      <c r="A64" s="19" t="s">
        <v>19</v>
      </c>
      <c r="B64" s="19" t="s">
        <v>1</v>
      </c>
      <c r="C64" s="19" t="s">
        <v>254</v>
      </c>
      <c r="D64" s="20">
        <v>46177</v>
      </c>
      <c r="E64" s="20">
        <v>46172</v>
      </c>
      <c r="F64" s="21" t="s">
        <v>48</v>
      </c>
      <c r="G64" s="19" t="s">
        <v>73</v>
      </c>
      <c r="K64" s="19" t="s">
        <v>292</v>
      </c>
      <c r="L64" s="25">
        <v>200</v>
      </c>
      <c r="M64" s="22">
        <f t="shared" si="18"/>
        <v>36</v>
      </c>
      <c r="N64" s="37">
        <f t="shared" si="19"/>
        <v>236</v>
      </c>
      <c r="O64" s="38">
        <v>0</v>
      </c>
      <c r="P64" s="46">
        <f t="shared" si="20"/>
        <v>236</v>
      </c>
      <c r="Q64" s="22">
        <v>236</v>
      </c>
      <c r="R64" s="39">
        <f t="shared" si="21"/>
        <v>0</v>
      </c>
      <c r="S64" s="42" t="s">
        <v>116</v>
      </c>
      <c r="T64" s="49" t="s">
        <v>270</v>
      </c>
      <c r="V64" s="19">
        <v>6112662</v>
      </c>
    </row>
    <row r="65" spans="1:22" x14ac:dyDescent="0.3">
      <c r="A65" s="19" t="s">
        <v>19</v>
      </c>
      <c r="B65" s="19" t="s">
        <v>104</v>
      </c>
      <c r="C65" s="19" t="s">
        <v>255</v>
      </c>
      <c r="D65" s="20">
        <v>46177</v>
      </c>
      <c r="E65" s="20">
        <v>46177</v>
      </c>
      <c r="F65" s="21" t="s">
        <v>225</v>
      </c>
      <c r="G65" s="19" t="s">
        <v>70</v>
      </c>
      <c r="H65" s="19" t="s">
        <v>227</v>
      </c>
      <c r="I65" s="19" t="s">
        <v>256</v>
      </c>
      <c r="J65" s="19" t="s">
        <v>4</v>
      </c>
      <c r="K65" s="19" t="s">
        <v>11</v>
      </c>
      <c r="L65" s="25">
        <v>5500</v>
      </c>
      <c r="M65" s="22">
        <f t="shared" si="18"/>
        <v>990</v>
      </c>
      <c r="N65" s="37">
        <f t="shared" si="19"/>
        <v>6490</v>
      </c>
      <c r="O65" s="38">
        <v>260</v>
      </c>
      <c r="P65" s="46">
        <f t="shared" si="20"/>
        <v>6230</v>
      </c>
      <c r="Q65" s="22">
        <f>2000+4230</f>
        <v>6230</v>
      </c>
      <c r="R65" s="46">
        <f t="shared" si="21"/>
        <v>0</v>
      </c>
      <c r="S65" s="42" t="s">
        <v>116</v>
      </c>
      <c r="T65" s="42" t="s">
        <v>116</v>
      </c>
      <c r="U65" s="47">
        <v>309182407</v>
      </c>
    </row>
    <row r="66" spans="1:22" x14ac:dyDescent="0.3">
      <c r="A66" s="19" t="s">
        <v>19</v>
      </c>
      <c r="B66" s="19" t="s">
        <v>1</v>
      </c>
      <c r="C66" s="19" t="s">
        <v>257</v>
      </c>
      <c r="D66" s="20">
        <v>46177</v>
      </c>
      <c r="E66" s="20">
        <v>46177</v>
      </c>
      <c r="F66" s="21" t="s">
        <v>48</v>
      </c>
      <c r="G66" s="19" t="s">
        <v>59</v>
      </c>
      <c r="H66" s="19" t="s">
        <v>237</v>
      </c>
      <c r="I66" s="19" t="s">
        <v>258</v>
      </c>
      <c r="J66" s="19" t="s">
        <v>4</v>
      </c>
      <c r="K66" s="19" t="s">
        <v>2</v>
      </c>
      <c r="L66" s="25">
        <v>5000</v>
      </c>
      <c r="M66" s="22">
        <f t="shared" si="18"/>
        <v>900</v>
      </c>
      <c r="N66" s="37">
        <f t="shared" si="19"/>
        <v>5900</v>
      </c>
      <c r="O66" s="38">
        <f>N66*4%</f>
        <v>236</v>
      </c>
      <c r="P66" s="46">
        <f t="shared" si="20"/>
        <v>5664</v>
      </c>
      <c r="Q66" s="22">
        <f>2000+3664</f>
        <v>5664</v>
      </c>
      <c r="R66" s="46">
        <f>P66-Q66</f>
        <v>0</v>
      </c>
      <c r="S66" s="42" t="s">
        <v>116</v>
      </c>
      <c r="T66" s="42" t="s">
        <v>116</v>
      </c>
      <c r="U66" s="47">
        <v>309183259</v>
      </c>
      <c r="V66" s="19">
        <v>6000538</v>
      </c>
    </row>
    <row r="67" spans="1:22" x14ac:dyDescent="0.3">
      <c r="A67" s="19" t="s">
        <v>82</v>
      </c>
      <c r="B67" s="19" t="s">
        <v>107</v>
      </c>
      <c r="C67" s="19" t="s">
        <v>305</v>
      </c>
      <c r="D67" s="20">
        <v>46177</v>
      </c>
      <c r="E67" s="20">
        <v>46174</v>
      </c>
      <c r="F67" s="21" t="s">
        <v>121</v>
      </c>
      <c r="G67" s="19" t="s">
        <v>73</v>
      </c>
      <c r="H67" s="19" t="s">
        <v>306</v>
      </c>
      <c r="I67" s="19">
        <v>10</v>
      </c>
      <c r="J67" s="19" t="s">
        <v>4</v>
      </c>
      <c r="K67" s="19" t="s">
        <v>307</v>
      </c>
      <c r="L67" s="24">
        <v>3389.83</v>
      </c>
      <c r="M67" s="22">
        <f t="shared" si="18"/>
        <v>610.1694</v>
      </c>
      <c r="N67" s="37">
        <f t="shared" si="19"/>
        <v>3999.9993999999997</v>
      </c>
      <c r="O67" s="38">
        <f>N67*4%</f>
        <v>159.999976</v>
      </c>
      <c r="P67" s="39">
        <f t="shared" si="20"/>
        <v>3839.9994239999996</v>
      </c>
      <c r="Q67" s="23">
        <v>3840</v>
      </c>
      <c r="R67" s="46">
        <f>P67-Q67</f>
        <v>-5.760000003647292E-4</v>
      </c>
      <c r="S67" s="42" t="s">
        <v>116</v>
      </c>
      <c r="T67" s="42" t="s">
        <v>116</v>
      </c>
      <c r="U67" s="47">
        <v>309229866</v>
      </c>
      <c r="V67" s="19">
        <v>6114826</v>
      </c>
    </row>
    <row r="68" spans="1:22" x14ac:dyDescent="0.3">
      <c r="A68" s="19" t="s">
        <v>263</v>
      </c>
      <c r="B68" s="19" t="s">
        <v>262</v>
      </c>
      <c r="C68" s="19" t="s">
        <v>264</v>
      </c>
      <c r="D68" s="20">
        <v>46144</v>
      </c>
      <c r="E68" s="20" t="s">
        <v>265</v>
      </c>
      <c r="F68" s="21" t="s">
        <v>266</v>
      </c>
      <c r="G68" s="19" t="s">
        <v>267</v>
      </c>
      <c r="J68" s="19" t="s">
        <v>4</v>
      </c>
      <c r="K68" s="19" t="s">
        <v>4</v>
      </c>
      <c r="L68" s="25">
        <v>2600</v>
      </c>
      <c r="M68" s="22">
        <f t="shared" si="18"/>
        <v>468</v>
      </c>
      <c r="N68" s="37">
        <f t="shared" si="19"/>
        <v>3068</v>
      </c>
      <c r="O68" s="38">
        <v>123</v>
      </c>
      <c r="P68" s="46">
        <f t="shared" si="20"/>
        <v>2945</v>
      </c>
      <c r="Q68" s="22">
        <v>2945</v>
      </c>
      <c r="R68" s="46">
        <f t="shared" si="21"/>
        <v>0</v>
      </c>
      <c r="S68" s="42" t="s">
        <v>116</v>
      </c>
      <c r="T68" s="42" t="s">
        <v>116</v>
      </c>
      <c r="U68" s="19">
        <v>307321598</v>
      </c>
    </row>
    <row r="69" spans="1:22" x14ac:dyDescent="0.3">
      <c r="A69" s="19" t="s">
        <v>19</v>
      </c>
      <c r="B69" s="19" t="s">
        <v>1</v>
      </c>
      <c r="C69" s="19" t="s">
        <v>268</v>
      </c>
      <c r="D69" s="20">
        <v>46182</v>
      </c>
      <c r="E69" s="20">
        <v>46179</v>
      </c>
      <c r="F69" s="21" t="s">
        <v>49</v>
      </c>
      <c r="G69" s="19" t="s">
        <v>73</v>
      </c>
      <c r="H69" s="19" t="s">
        <v>194</v>
      </c>
      <c r="I69" s="19" t="s">
        <v>269</v>
      </c>
      <c r="J69" s="19" t="s">
        <v>4</v>
      </c>
      <c r="K69" s="19" t="s">
        <v>2</v>
      </c>
      <c r="L69" s="25">
        <v>4700</v>
      </c>
      <c r="M69" s="22">
        <f t="shared" ref="M69:M88" si="22">L69*0.18</f>
        <v>846</v>
      </c>
      <c r="N69" s="37">
        <f t="shared" ref="N69:N88" si="23">L69+M69</f>
        <v>5546</v>
      </c>
      <c r="O69" s="38">
        <v>222</v>
      </c>
      <c r="P69" s="46">
        <f t="shared" ref="P69:P88" si="24">N69-O69</f>
        <v>5324</v>
      </c>
      <c r="Q69" s="22">
        <v>5324</v>
      </c>
      <c r="R69" s="46">
        <f>P69-Q69</f>
        <v>0</v>
      </c>
      <c r="S69" s="42" t="s">
        <v>116</v>
      </c>
      <c r="T69" s="42" t="s">
        <v>116</v>
      </c>
      <c r="U69" s="47">
        <v>309184113</v>
      </c>
      <c r="V69" s="19">
        <v>6009542</v>
      </c>
    </row>
    <row r="70" spans="1:22" x14ac:dyDescent="0.3">
      <c r="A70" s="19" t="s">
        <v>20</v>
      </c>
      <c r="B70" s="19" t="s">
        <v>3</v>
      </c>
      <c r="C70" s="19" t="s">
        <v>271</v>
      </c>
      <c r="D70" s="20">
        <v>46178</v>
      </c>
      <c r="E70" s="20">
        <v>46178</v>
      </c>
      <c r="G70" s="19" t="s">
        <v>59</v>
      </c>
      <c r="H70" s="19" t="s">
        <v>205</v>
      </c>
      <c r="I70" s="19" t="s">
        <v>205</v>
      </c>
      <c r="J70" s="19" t="s">
        <v>4</v>
      </c>
      <c r="K70" s="19" t="s">
        <v>5</v>
      </c>
      <c r="L70" s="25">
        <v>1000</v>
      </c>
      <c r="M70" s="23">
        <f t="shared" si="22"/>
        <v>180</v>
      </c>
      <c r="N70" s="37">
        <f t="shared" si="23"/>
        <v>1180</v>
      </c>
      <c r="O70" s="38">
        <f>N70*4%</f>
        <v>47.2</v>
      </c>
      <c r="P70" s="39">
        <f t="shared" si="24"/>
        <v>1132.8</v>
      </c>
      <c r="Q70" s="19"/>
      <c r="R70" s="39">
        <f>P70-Q70</f>
        <v>1132.8</v>
      </c>
      <c r="S70" s="42" t="s">
        <v>116</v>
      </c>
      <c r="T70" s="42" t="s">
        <v>116</v>
      </c>
      <c r="U70" s="47">
        <v>307515482</v>
      </c>
    </row>
    <row r="71" spans="1:22" x14ac:dyDescent="0.3">
      <c r="A71" s="19" t="s">
        <v>19</v>
      </c>
      <c r="B71" s="19" t="s">
        <v>104</v>
      </c>
      <c r="C71" s="19" t="s">
        <v>272</v>
      </c>
      <c r="D71" s="20">
        <v>46183</v>
      </c>
      <c r="E71" s="20">
        <v>46183</v>
      </c>
      <c r="F71" s="21" t="s">
        <v>225</v>
      </c>
      <c r="G71" s="19" t="s">
        <v>73</v>
      </c>
      <c r="H71" s="19" t="s">
        <v>227</v>
      </c>
      <c r="I71" s="19" t="s">
        <v>273</v>
      </c>
      <c r="J71" s="19" t="s">
        <v>4</v>
      </c>
      <c r="K71" s="19" t="s">
        <v>12</v>
      </c>
      <c r="L71" s="25">
        <v>3400</v>
      </c>
      <c r="M71" s="22">
        <f t="shared" si="22"/>
        <v>612</v>
      </c>
      <c r="N71" s="37">
        <f t="shared" si="23"/>
        <v>4012</v>
      </c>
      <c r="O71" s="38">
        <v>161</v>
      </c>
      <c r="P71" s="46">
        <f t="shared" si="24"/>
        <v>3851</v>
      </c>
      <c r="Q71" s="22">
        <f>1500+2351</f>
        <v>3851</v>
      </c>
      <c r="R71" s="46">
        <f t="shared" ref="R71:R77" si="25">P71-Q71</f>
        <v>0</v>
      </c>
      <c r="S71" s="42" t="s">
        <v>116</v>
      </c>
      <c r="T71" s="42" t="s">
        <v>116</v>
      </c>
      <c r="U71" s="47">
        <v>309185037</v>
      </c>
      <c r="V71" s="19">
        <v>6010223</v>
      </c>
    </row>
    <row r="72" spans="1:22" x14ac:dyDescent="0.3">
      <c r="A72" s="19" t="s">
        <v>134</v>
      </c>
      <c r="B72" s="19" t="s">
        <v>201</v>
      </c>
      <c r="C72" s="19" t="s">
        <v>274</v>
      </c>
      <c r="D72" s="20">
        <v>46172</v>
      </c>
      <c r="E72" s="20">
        <v>46176</v>
      </c>
      <c r="F72" s="21" t="s">
        <v>135</v>
      </c>
      <c r="G72" s="19" t="s">
        <v>73</v>
      </c>
      <c r="J72" s="19" t="s">
        <v>4</v>
      </c>
      <c r="K72" s="19" t="s">
        <v>203</v>
      </c>
      <c r="L72" s="25">
        <v>5200</v>
      </c>
      <c r="M72" s="22">
        <f t="shared" si="22"/>
        <v>936</v>
      </c>
      <c r="N72" s="37">
        <f t="shared" si="23"/>
        <v>6136</v>
      </c>
      <c r="O72" s="38">
        <v>246</v>
      </c>
      <c r="P72" s="39">
        <f t="shared" si="24"/>
        <v>5890</v>
      </c>
      <c r="Q72" s="23">
        <v>5890</v>
      </c>
      <c r="R72" s="39">
        <f t="shared" si="25"/>
        <v>0</v>
      </c>
      <c r="S72" s="42" t="s">
        <v>116</v>
      </c>
      <c r="T72" s="42" t="s">
        <v>116</v>
      </c>
      <c r="U72" s="47">
        <v>307734279</v>
      </c>
    </row>
    <row r="73" spans="1:22" x14ac:dyDescent="0.3">
      <c r="A73" s="19" t="s">
        <v>134</v>
      </c>
      <c r="B73" s="19" t="s">
        <v>201</v>
      </c>
      <c r="C73" s="19" t="s">
        <v>275</v>
      </c>
      <c r="D73" s="20">
        <v>46183</v>
      </c>
      <c r="E73" s="20"/>
      <c r="F73" s="21" t="s">
        <v>265</v>
      </c>
      <c r="G73" s="19" t="s">
        <v>73</v>
      </c>
      <c r="J73" s="19" t="s">
        <v>4</v>
      </c>
      <c r="K73" s="19" t="s">
        <v>203</v>
      </c>
      <c r="L73" s="25">
        <v>12300</v>
      </c>
      <c r="M73" s="22">
        <f t="shared" si="22"/>
        <v>2214</v>
      </c>
      <c r="N73" s="37">
        <f t="shared" si="23"/>
        <v>14514</v>
      </c>
      <c r="O73" s="38">
        <v>581</v>
      </c>
      <c r="P73" s="39">
        <f t="shared" si="24"/>
        <v>13933</v>
      </c>
      <c r="Q73" s="23">
        <v>1500</v>
      </c>
      <c r="R73" s="39">
        <f t="shared" si="25"/>
        <v>12433</v>
      </c>
      <c r="S73" s="41" t="s">
        <v>132</v>
      </c>
      <c r="T73" s="50" t="s">
        <v>132</v>
      </c>
      <c r="U73" s="47"/>
    </row>
    <row r="74" spans="1:22" x14ac:dyDescent="0.3">
      <c r="A74" s="19" t="s">
        <v>82</v>
      </c>
      <c r="B74" s="19" t="s">
        <v>83</v>
      </c>
      <c r="C74" s="19" t="s">
        <v>236</v>
      </c>
      <c r="D74" s="20">
        <v>46181</v>
      </c>
      <c r="E74" s="20">
        <v>46181</v>
      </c>
      <c r="F74" s="21" t="s">
        <v>88</v>
      </c>
      <c r="G74" s="19" t="s">
        <v>59</v>
      </c>
      <c r="H74" s="19" t="s">
        <v>237</v>
      </c>
      <c r="I74" s="19" t="s">
        <v>276</v>
      </c>
      <c r="J74" s="19" t="s">
        <v>4</v>
      </c>
      <c r="K74" s="19" t="s">
        <v>12</v>
      </c>
      <c r="L74" s="24">
        <v>3559.3220000000001</v>
      </c>
      <c r="M74" s="22">
        <f t="shared" si="22"/>
        <v>640.67795999999998</v>
      </c>
      <c r="N74" s="37">
        <f t="shared" si="23"/>
        <v>4199.9999600000001</v>
      </c>
      <c r="O74" s="38">
        <f>N74*4%</f>
        <v>167.99999840000001</v>
      </c>
      <c r="P74" s="39">
        <f t="shared" si="24"/>
        <v>4031.9999616</v>
      </c>
      <c r="R74" s="39">
        <f t="shared" si="25"/>
        <v>4031.9999616</v>
      </c>
      <c r="S74" s="42" t="s">
        <v>116</v>
      </c>
      <c r="T74" s="42" t="s">
        <v>116</v>
      </c>
      <c r="U74" s="47">
        <v>307923868</v>
      </c>
      <c r="V74" s="48">
        <v>6041552</v>
      </c>
    </row>
    <row r="75" spans="1:22" x14ac:dyDescent="0.3">
      <c r="A75" s="19" t="s">
        <v>134</v>
      </c>
      <c r="B75" s="19" t="s">
        <v>201</v>
      </c>
      <c r="C75" s="19" t="s">
        <v>38</v>
      </c>
      <c r="D75" s="20">
        <v>46189</v>
      </c>
      <c r="E75" s="20"/>
      <c r="F75" s="21" t="s">
        <v>135</v>
      </c>
      <c r="G75" s="19" t="s">
        <v>203</v>
      </c>
      <c r="H75" s="19" t="s">
        <v>205</v>
      </c>
      <c r="I75" s="19" t="s">
        <v>205</v>
      </c>
      <c r="J75" s="19" t="s">
        <v>4</v>
      </c>
      <c r="K75" s="19" t="s">
        <v>281</v>
      </c>
      <c r="L75" s="25">
        <v>7000</v>
      </c>
      <c r="M75" s="23">
        <f t="shared" si="22"/>
        <v>1260</v>
      </c>
      <c r="N75" s="37">
        <f t="shared" si="23"/>
        <v>8260</v>
      </c>
      <c r="O75" s="38">
        <v>331</v>
      </c>
      <c r="P75" s="39">
        <f t="shared" si="24"/>
        <v>7929</v>
      </c>
      <c r="Q75" s="23">
        <v>7929</v>
      </c>
      <c r="R75" s="39">
        <f t="shared" si="25"/>
        <v>0</v>
      </c>
      <c r="S75" s="42" t="s">
        <v>116</v>
      </c>
      <c r="T75" s="42" t="s">
        <v>116</v>
      </c>
      <c r="U75" s="47">
        <v>309186317</v>
      </c>
    </row>
    <row r="76" spans="1:22" x14ac:dyDescent="0.3">
      <c r="A76" s="19" t="s">
        <v>134</v>
      </c>
      <c r="B76" s="19" t="s">
        <v>201</v>
      </c>
      <c r="C76" s="19" t="s">
        <v>280</v>
      </c>
      <c r="D76" s="20">
        <v>46189</v>
      </c>
      <c r="E76" s="20"/>
      <c r="F76" s="21" t="s">
        <v>55</v>
      </c>
      <c r="G76" s="19" t="s">
        <v>203</v>
      </c>
      <c r="H76" s="19" t="s">
        <v>205</v>
      </c>
      <c r="I76" s="19" t="s">
        <v>205</v>
      </c>
      <c r="J76" s="19" t="s">
        <v>4</v>
      </c>
      <c r="K76" s="19" t="s">
        <v>282</v>
      </c>
      <c r="L76" s="25">
        <v>5300</v>
      </c>
      <c r="M76" s="23">
        <f t="shared" si="22"/>
        <v>954</v>
      </c>
      <c r="N76" s="37">
        <f t="shared" si="23"/>
        <v>6254</v>
      </c>
      <c r="O76" s="38">
        <v>251</v>
      </c>
      <c r="P76" s="39">
        <f t="shared" si="24"/>
        <v>6003</v>
      </c>
      <c r="Q76" s="23">
        <v>6003</v>
      </c>
      <c r="R76" s="39">
        <f t="shared" si="25"/>
        <v>0</v>
      </c>
      <c r="S76" s="42" t="s">
        <v>116</v>
      </c>
      <c r="T76" s="42" t="s">
        <v>116</v>
      </c>
      <c r="U76" s="47">
        <v>307922008</v>
      </c>
      <c r="V76" s="19">
        <v>6063756</v>
      </c>
    </row>
    <row r="77" spans="1:22" x14ac:dyDescent="0.3">
      <c r="A77" s="19" t="s">
        <v>134</v>
      </c>
      <c r="B77" s="19" t="s">
        <v>201</v>
      </c>
      <c r="C77" s="19" t="s">
        <v>246</v>
      </c>
      <c r="D77" s="20">
        <v>46189</v>
      </c>
      <c r="E77" s="20"/>
      <c r="F77" s="21" t="s">
        <v>55</v>
      </c>
      <c r="G77" s="19" t="s">
        <v>203</v>
      </c>
      <c r="H77" s="19" t="s">
        <v>205</v>
      </c>
      <c r="I77" s="19" t="s">
        <v>205</v>
      </c>
      <c r="J77" s="19" t="s">
        <v>4</v>
      </c>
      <c r="K77" s="19" t="s">
        <v>217</v>
      </c>
      <c r="L77" s="25">
        <v>4000</v>
      </c>
      <c r="M77" s="23">
        <f t="shared" si="22"/>
        <v>720</v>
      </c>
      <c r="N77" s="37">
        <f t="shared" si="23"/>
        <v>4720</v>
      </c>
      <c r="O77" s="38">
        <v>189</v>
      </c>
      <c r="P77" s="39">
        <f t="shared" si="24"/>
        <v>4531</v>
      </c>
      <c r="Q77" s="23">
        <v>4531</v>
      </c>
      <c r="R77" s="39">
        <f t="shared" si="25"/>
        <v>0</v>
      </c>
      <c r="S77" s="42" t="s">
        <v>116</v>
      </c>
      <c r="T77" s="42" t="s">
        <v>116</v>
      </c>
      <c r="U77" s="47">
        <v>307922366</v>
      </c>
      <c r="V77" s="48">
        <v>6061762</v>
      </c>
    </row>
    <row r="78" spans="1:22" x14ac:dyDescent="0.3">
      <c r="A78" s="19" t="s">
        <v>284</v>
      </c>
      <c r="B78" s="19" t="s">
        <v>283</v>
      </c>
      <c r="C78" s="19" t="s">
        <v>285</v>
      </c>
      <c r="D78" s="20">
        <v>46183</v>
      </c>
      <c r="E78" s="20">
        <v>46182</v>
      </c>
      <c r="F78" s="21" t="s">
        <v>287</v>
      </c>
      <c r="G78" s="19" t="s">
        <v>267</v>
      </c>
      <c r="J78" s="19" t="s">
        <v>4</v>
      </c>
      <c r="K78" s="19" t="s">
        <v>288</v>
      </c>
      <c r="L78" s="24">
        <v>1200</v>
      </c>
      <c r="M78" s="22">
        <f t="shared" si="22"/>
        <v>216</v>
      </c>
      <c r="N78" s="37">
        <f t="shared" si="23"/>
        <v>1416</v>
      </c>
      <c r="O78" s="38">
        <v>57</v>
      </c>
      <c r="P78" s="39">
        <f t="shared" si="24"/>
        <v>1359</v>
      </c>
      <c r="R78" s="39">
        <f t="shared" ref="R78:R85" si="26">P78-Q78</f>
        <v>1359</v>
      </c>
      <c r="S78" s="42" t="s">
        <v>116</v>
      </c>
      <c r="T78" s="42" t="s">
        <v>116</v>
      </c>
      <c r="U78" s="47">
        <v>309188369</v>
      </c>
      <c r="V78" s="48">
        <v>6045005</v>
      </c>
    </row>
    <row r="79" spans="1:22" x14ac:dyDescent="0.3">
      <c r="A79" s="19" t="s">
        <v>284</v>
      </c>
      <c r="B79" s="19" t="s">
        <v>283</v>
      </c>
      <c r="C79" s="19" t="s">
        <v>197</v>
      </c>
      <c r="D79" s="20">
        <v>46185</v>
      </c>
      <c r="E79" s="20">
        <v>46184</v>
      </c>
      <c r="F79" s="21" t="s">
        <v>287</v>
      </c>
      <c r="G79" s="19" t="s">
        <v>267</v>
      </c>
      <c r="J79" s="19" t="s">
        <v>4</v>
      </c>
      <c r="K79" s="19" t="s">
        <v>288</v>
      </c>
      <c r="L79" s="24">
        <v>1200</v>
      </c>
      <c r="M79" s="22">
        <f t="shared" si="22"/>
        <v>216</v>
      </c>
      <c r="N79" s="37">
        <f t="shared" si="23"/>
        <v>1416</v>
      </c>
      <c r="O79" s="38">
        <v>57</v>
      </c>
      <c r="P79" s="39">
        <f t="shared" si="24"/>
        <v>1359</v>
      </c>
      <c r="R79" s="39">
        <f t="shared" si="26"/>
        <v>1359</v>
      </c>
      <c r="S79" s="42" t="s">
        <v>116</v>
      </c>
      <c r="T79" s="42" t="s">
        <v>116</v>
      </c>
      <c r="U79" s="47">
        <v>309190419</v>
      </c>
      <c r="V79" s="48">
        <v>6035913</v>
      </c>
    </row>
    <row r="80" spans="1:22" x14ac:dyDescent="0.3">
      <c r="A80" s="19" t="s">
        <v>284</v>
      </c>
      <c r="B80" s="19" t="s">
        <v>283</v>
      </c>
      <c r="C80" s="19" t="s">
        <v>286</v>
      </c>
      <c r="D80" s="20">
        <v>46191</v>
      </c>
      <c r="E80" s="20">
        <v>46186</v>
      </c>
      <c r="F80" s="21" t="s">
        <v>287</v>
      </c>
      <c r="G80" s="19" t="s">
        <v>267</v>
      </c>
      <c r="J80" s="19" t="s">
        <v>4</v>
      </c>
      <c r="K80" s="19" t="s">
        <v>288</v>
      </c>
      <c r="L80" s="24">
        <v>600</v>
      </c>
      <c r="M80" s="22">
        <f t="shared" si="22"/>
        <v>108</v>
      </c>
      <c r="N80" s="37">
        <f t="shared" si="23"/>
        <v>708</v>
      </c>
      <c r="O80" s="38">
        <v>28</v>
      </c>
      <c r="P80" s="39">
        <f t="shared" si="24"/>
        <v>680</v>
      </c>
      <c r="Q80" s="22">
        <v>680</v>
      </c>
      <c r="R80" s="39">
        <f t="shared" si="26"/>
        <v>0</v>
      </c>
      <c r="S80" s="42" t="s">
        <v>116</v>
      </c>
      <c r="T80" s="42" t="s">
        <v>116</v>
      </c>
      <c r="U80" s="47">
        <v>309197443</v>
      </c>
      <c r="V80" s="48">
        <v>6032955</v>
      </c>
    </row>
    <row r="81" spans="1:23" x14ac:dyDescent="0.3">
      <c r="A81" s="19" t="s">
        <v>19</v>
      </c>
      <c r="B81" s="19" t="s">
        <v>16</v>
      </c>
      <c r="C81" s="19" t="s">
        <v>291</v>
      </c>
      <c r="D81" s="20">
        <v>46190</v>
      </c>
      <c r="E81" s="20">
        <v>46189</v>
      </c>
      <c r="F81" s="21" t="s">
        <v>52</v>
      </c>
      <c r="G81" s="19" t="s">
        <v>73</v>
      </c>
      <c r="J81" s="19" t="s">
        <v>4</v>
      </c>
      <c r="K81" s="19" t="s">
        <v>7</v>
      </c>
      <c r="L81" s="24">
        <v>4300</v>
      </c>
      <c r="M81" s="22">
        <f t="shared" si="22"/>
        <v>774</v>
      </c>
      <c r="N81" s="37">
        <f t="shared" si="23"/>
        <v>5074</v>
      </c>
      <c r="O81" s="38">
        <v>203</v>
      </c>
      <c r="P81" s="39">
        <f t="shared" si="24"/>
        <v>4871</v>
      </c>
      <c r="Q81" s="22">
        <f>236+4635</f>
        <v>4871</v>
      </c>
      <c r="R81" s="46">
        <f t="shared" si="26"/>
        <v>0</v>
      </c>
      <c r="S81" s="42" t="s">
        <v>116</v>
      </c>
      <c r="T81" s="42" t="s">
        <v>116</v>
      </c>
      <c r="U81" s="51">
        <v>309204601</v>
      </c>
    </row>
    <row r="82" spans="1:23" x14ac:dyDescent="0.3">
      <c r="A82" s="19" t="s">
        <v>19</v>
      </c>
      <c r="B82" s="19" t="s">
        <v>289</v>
      </c>
      <c r="C82" s="19" t="s">
        <v>290</v>
      </c>
      <c r="D82" s="20">
        <v>46190</v>
      </c>
      <c r="E82" s="20"/>
      <c r="G82" s="19" t="s">
        <v>267</v>
      </c>
      <c r="J82" s="19" t="s">
        <v>4</v>
      </c>
      <c r="K82" s="19" t="s">
        <v>288</v>
      </c>
      <c r="L82" s="24">
        <v>600</v>
      </c>
      <c r="M82" s="22">
        <f t="shared" si="22"/>
        <v>108</v>
      </c>
      <c r="N82" s="37">
        <f t="shared" si="23"/>
        <v>708</v>
      </c>
      <c r="O82" s="38">
        <v>29</v>
      </c>
      <c r="P82" s="39">
        <f t="shared" si="24"/>
        <v>679</v>
      </c>
      <c r="R82" s="46">
        <f t="shared" si="26"/>
        <v>679</v>
      </c>
      <c r="S82" s="42" t="s">
        <v>116</v>
      </c>
      <c r="T82" s="42" t="s">
        <v>116</v>
      </c>
      <c r="U82" s="47">
        <v>309206616</v>
      </c>
    </row>
    <row r="83" spans="1:23" x14ac:dyDescent="0.3">
      <c r="A83" s="19" t="s">
        <v>19</v>
      </c>
      <c r="B83" s="19" t="s">
        <v>104</v>
      </c>
      <c r="C83" s="19" t="s">
        <v>293</v>
      </c>
      <c r="D83" s="20">
        <v>46197</v>
      </c>
      <c r="E83" s="20"/>
      <c r="F83" s="21" t="s">
        <v>225</v>
      </c>
      <c r="G83" s="19" t="s">
        <v>59</v>
      </c>
      <c r="J83" s="19" t="s">
        <v>4</v>
      </c>
      <c r="K83" s="19" t="s">
        <v>11</v>
      </c>
      <c r="L83" s="24">
        <v>5000</v>
      </c>
      <c r="M83" s="22">
        <f t="shared" si="22"/>
        <v>900</v>
      </c>
      <c r="N83" s="37">
        <f t="shared" si="23"/>
        <v>5900</v>
      </c>
      <c r="O83" s="38">
        <f>N83*4%</f>
        <v>236</v>
      </c>
      <c r="P83" s="39">
        <f t="shared" si="24"/>
        <v>5664</v>
      </c>
      <c r="Q83" s="23">
        <v>5664</v>
      </c>
      <c r="R83" s="46">
        <f t="shared" si="26"/>
        <v>0</v>
      </c>
      <c r="S83" s="42" t="s">
        <v>116</v>
      </c>
      <c r="T83" s="42" t="s">
        <v>116</v>
      </c>
      <c r="U83" s="47">
        <v>309209635</v>
      </c>
      <c r="V83" s="48">
        <v>6160669</v>
      </c>
    </row>
    <row r="84" spans="1:23" x14ac:dyDescent="0.3">
      <c r="A84" s="19" t="s">
        <v>309</v>
      </c>
      <c r="B84" s="19" t="s">
        <v>310</v>
      </c>
      <c r="C84" s="19" t="s">
        <v>311</v>
      </c>
      <c r="D84" s="20">
        <v>46196</v>
      </c>
      <c r="E84" s="20"/>
      <c r="F84" s="21" t="s">
        <v>312</v>
      </c>
      <c r="G84" s="19" t="s">
        <v>267</v>
      </c>
      <c r="J84" s="19" t="s">
        <v>4</v>
      </c>
      <c r="K84" s="19" t="s">
        <v>4</v>
      </c>
      <c r="L84" s="24">
        <v>600</v>
      </c>
      <c r="M84" s="19">
        <f t="shared" si="22"/>
        <v>108</v>
      </c>
      <c r="N84" s="19">
        <f t="shared" si="23"/>
        <v>708</v>
      </c>
      <c r="O84" s="38">
        <v>29</v>
      </c>
      <c r="P84" s="39">
        <f t="shared" si="24"/>
        <v>679</v>
      </c>
      <c r="Q84" s="22">
        <v>679</v>
      </c>
      <c r="R84" s="46">
        <f t="shared" si="26"/>
        <v>0</v>
      </c>
      <c r="S84" s="42" t="s">
        <v>116</v>
      </c>
      <c r="T84" s="42" t="s">
        <v>116</v>
      </c>
      <c r="U84" s="43">
        <v>310062788</v>
      </c>
      <c r="V84" s="52">
        <v>6086920</v>
      </c>
      <c r="W84" s="53">
        <v>46230</v>
      </c>
    </row>
    <row r="85" spans="1:23" ht="14.4" customHeight="1" x14ac:dyDescent="0.3">
      <c r="A85" s="19" t="s">
        <v>82</v>
      </c>
      <c r="B85" s="19" t="s">
        <v>107</v>
      </c>
      <c r="C85" s="19" t="s">
        <v>296</v>
      </c>
      <c r="D85" s="20">
        <v>46203</v>
      </c>
      <c r="E85" s="20"/>
      <c r="F85" s="21" t="s">
        <v>119</v>
      </c>
      <c r="G85" s="19" t="s">
        <v>73</v>
      </c>
      <c r="J85" s="19" t="s">
        <v>4</v>
      </c>
      <c r="K85" s="19" t="s">
        <v>190</v>
      </c>
      <c r="L85" s="24">
        <v>3813.5590000000002</v>
      </c>
      <c r="M85" s="22">
        <f t="shared" si="22"/>
        <v>686.44061999999997</v>
      </c>
      <c r="N85" s="37">
        <f t="shared" si="23"/>
        <v>4499.9996200000005</v>
      </c>
      <c r="O85" s="38">
        <f>N85*4%</f>
        <v>179.99998480000002</v>
      </c>
      <c r="P85" s="39">
        <f t="shared" si="24"/>
        <v>4319.9996352000007</v>
      </c>
      <c r="Q85" s="23">
        <v>4320</v>
      </c>
      <c r="R85" s="46">
        <f t="shared" si="26"/>
        <v>-3.6479999926086748E-4</v>
      </c>
      <c r="S85" s="42" t="s">
        <v>116</v>
      </c>
      <c r="T85" s="42" t="s">
        <v>116</v>
      </c>
      <c r="U85" s="47">
        <v>309216975</v>
      </c>
      <c r="V85" s="52"/>
    </row>
    <row r="86" spans="1:23" ht="14.4" customHeight="1" x14ac:dyDescent="0.3">
      <c r="A86" s="19" t="s">
        <v>263</v>
      </c>
      <c r="B86" s="19" t="s">
        <v>262</v>
      </c>
      <c r="C86" s="19" t="s">
        <v>297</v>
      </c>
      <c r="D86" s="20">
        <v>46189</v>
      </c>
      <c r="E86" s="20"/>
      <c r="F86" s="21" t="s">
        <v>266</v>
      </c>
      <c r="G86" s="19" t="s">
        <v>267</v>
      </c>
      <c r="J86" s="19" t="s">
        <v>4</v>
      </c>
      <c r="K86" s="19" t="s">
        <v>4</v>
      </c>
      <c r="L86" s="24">
        <v>600</v>
      </c>
      <c r="M86" s="22">
        <f t="shared" si="22"/>
        <v>108</v>
      </c>
      <c r="N86" s="37">
        <f t="shared" si="23"/>
        <v>708</v>
      </c>
      <c r="O86" s="38">
        <v>29</v>
      </c>
      <c r="P86" s="39">
        <f t="shared" si="24"/>
        <v>679</v>
      </c>
      <c r="Q86" s="23">
        <v>679</v>
      </c>
      <c r="R86" s="46">
        <f>P86-Q86</f>
        <v>0</v>
      </c>
      <c r="S86" s="42" t="s">
        <v>116</v>
      </c>
      <c r="T86" s="42" t="s">
        <v>116</v>
      </c>
      <c r="U86" s="47">
        <v>309219719</v>
      </c>
    </row>
    <row r="87" spans="1:23" ht="14.4" customHeight="1" x14ac:dyDescent="0.3">
      <c r="A87" s="19" t="s">
        <v>19</v>
      </c>
      <c r="B87" s="19" t="s">
        <v>1</v>
      </c>
      <c r="C87" s="19" t="s">
        <v>294</v>
      </c>
      <c r="D87" s="20">
        <v>46204</v>
      </c>
      <c r="E87" s="20"/>
      <c r="F87" s="21" t="s">
        <v>295</v>
      </c>
      <c r="G87" s="19" t="s">
        <v>73</v>
      </c>
      <c r="J87" s="19" t="s">
        <v>4</v>
      </c>
      <c r="K87" s="19" t="s">
        <v>80</v>
      </c>
      <c r="L87" s="25">
        <v>7100</v>
      </c>
      <c r="M87" s="22">
        <f t="shared" si="22"/>
        <v>1278</v>
      </c>
      <c r="N87" s="37">
        <f t="shared" si="23"/>
        <v>8378</v>
      </c>
      <c r="O87" s="38">
        <v>336</v>
      </c>
      <c r="P87" s="39">
        <f t="shared" si="24"/>
        <v>8042</v>
      </c>
      <c r="Q87" s="23">
        <f>3000+5042</f>
        <v>8042</v>
      </c>
      <c r="R87" s="46">
        <f>P87-Q87</f>
        <v>0</v>
      </c>
      <c r="S87" s="42" t="s">
        <v>116</v>
      </c>
      <c r="T87" s="42" t="s">
        <v>116</v>
      </c>
      <c r="U87" s="19">
        <v>311685446</v>
      </c>
      <c r="V87" s="52"/>
    </row>
    <row r="88" spans="1:23" ht="13.8" customHeight="1" x14ac:dyDescent="0.3">
      <c r="A88" s="19" t="s">
        <v>263</v>
      </c>
      <c r="B88" s="19" t="s">
        <v>262</v>
      </c>
      <c r="C88" s="19" t="s">
        <v>298</v>
      </c>
      <c r="D88" s="20">
        <v>46205</v>
      </c>
      <c r="E88" s="20"/>
      <c r="F88" s="21" t="s">
        <v>266</v>
      </c>
      <c r="G88" s="19" t="s">
        <v>73</v>
      </c>
      <c r="J88" s="19" t="s">
        <v>4</v>
      </c>
      <c r="K88" s="19" t="s">
        <v>80</v>
      </c>
      <c r="L88" s="25">
        <v>6300</v>
      </c>
      <c r="M88" s="22">
        <f t="shared" si="22"/>
        <v>1134</v>
      </c>
      <c r="N88" s="37">
        <f t="shared" si="23"/>
        <v>7434</v>
      </c>
      <c r="O88" s="38">
        <v>298</v>
      </c>
      <c r="P88" s="39">
        <f t="shared" si="24"/>
        <v>7136</v>
      </c>
      <c r="Q88" s="23">
        <v>7136</v>
      </c>
      <c r="R88" s="46">
        <f>P88-Q88</f>
        <v>0</v>
      </c>
      <c r="S88" s="42" t="s">
        <v>116</v>
      </c>
      <c r="T88" s="42" t="s">
        <v>116</v>
      </c>
      <c r="U88" s="19">
        <v>311687881</v>
      </c>
    </row>
    <row r="89" spans="1:23" ht="13.8" customHeight="1" x14ac:dyDescent="0.3">
      <c r="A89" s="19" t="s">
        <v>134</v>
      </c>
      <c r="B89" s="19" t="s">
        <v>8</v>
      </c>
      <c r="C89" s="19" t="s">
        <v>300</v>
      </c>
      <c r="D89" s="20">
        <v>46206</v>
      </c>
      <c r="E89" s="20">
        <v>46199</v>
      </c>
      <c r="F89" s="21" t="s">
        <v>55</v>
      </c>
      <c r="G89" s="19" t="s">
        <v>73</v>
      </c>
      <c r="J89" s="19" t="s">
        <v>4</v>
      </c>
      <c r="K89" s="19" t="s">
        <v>2</v>
      </c>
      <c r="L89" s="25">
        <v>4000</v>
      </c>
      <c r="M89" s="22">
        <f t="shared" ref="M89:M94" si="27">L89*0.18</f>
        <v>720</v>
      </c>
      <c r="N89" s="37">
        <f t="shared" ref="N89:N95" si="28">L89+M89</f>
        <v>4720</v>
      </c>
      <c r="O89" s="38">
        <v>189</v>
      </c>
      <c r="P89" s="39">
        <f t="shared" ref="P89:P95" si="29">N89-O89</f>
        <v>4531</v>
      </c>
      <c r="Q89" s="23">
        <f>2000+2531</f>
        <v>4531</v>
      </c>
      <c r="R89" s="46">
        <f t="shared" ref="R89:R95" si="30">P89-Q89</f>
        <v>0</v>
      </c>
      <c r="S89" s="42" t="s">
        <v>116</v>
      </c>
      <c r="T89" s="42" t="s">
        <v>116</v>
      </c>
      <c r="U89" s="19">
        <v>311690795</v>
      </c>
      <c r="V89" s="52"/>
    </row>
    <row r="90" spans="1:23" ht="13.8" customHeight="1" x14ac:dyDescent="0.3">
      <c r="A90" s="19" t="s">
        <v>134</v>
      </c>
      <c r="B90" s="19" t="s">
        <v>8</v>
      </c>
      <c r="C90" s="19" t="s">
        <v>301</v>
      </c>
      <c r="D90" s="20">
        <v>46206</v>
      </c>
      <c r="E90" s="20">
        <v>46205</v>
      </c>
      <c r="F90" s="21" t="s">
        <v>304</v>
      </c>
      <c r="G90" s="19" t="s">
        <v>73</v>
      </c>
      <c r="J90" s="19" t="s">
        <v>4</v>
      </c>
      <c r="K90" s="19" t="s">
        <v>292</v>
      </c>
      <c r="L90" s="25">
        <v>3000</v>
      </c>
      <c r="M90" s="22">
        <f t="shared" si="27"/>
        <v>540</v>
      </c>
      <c r="N90" s="37">
        <f t="shared" si="28"/>
        <v>3540</v>
      </c>
      <c r="O90" s="38">
        <v>142</v>
      </c>
      <c r="P90" s="39">
        <f t="shared" si="29"/>
        <v>3398</v>
      </c>
      <c r="Q90" s="23">
        <f>1000+2000+398</f>
        <v>3398</v>
      </c>
      <c r="R90" s="46">
        <f t="shared" si="30"/>
        <v>0</v>
      </c>
      <c r="S90" s="42" t="s">
        <v>116</v>
      </c>
      <c r="T90" s="42" t="s">
        <v>116</v>
      </c>
      <c r="U90" s="19">
        <v>311693011</v>
      </c>
    </row>
    <row r="91" spans="1:23" ht="13.8" customHeight="1" x14ac:dyDescent="0.3">
      <c r="A91" s="19" t="s">
        <v>134</v>
      </c>
      <c r="B91" s="19" t="s">
        <v>8</v>
      </c>
      <c r="C91" s="19" t="s">
        <v>302</v>
      </c>
      <c r="D91" s="20">
        <v>46206</v>
      </c>
      <c r="E91" s="20">
        <v>46202</v>
      </c>
      <c r="F91" s="21" t="s">
        <v>304</v>
      </c>
      <c r="G91" s="19" t="s">
        <v>73</v>
      </c>
      <c r="J91" s="19" t="s">
        <v>4</v>
      </c>
      <c r="K91" s="19" t="s">
        <v>2</v>
      </c>
      <c r="L91" s="25">
        <v>5000</v>
      </c>
      <c r="M91" s="22">
        <f t="shared" si="27"/>
        <v>900</v>
      </c>
      <c r="N91" s="37">
        <f t="shared" si="28"/>
        <v>5900</v>
      </c>
      <c r="O91" s="38">
        <f>N91*4%</f>
        <v>236</v>
      </c>
      <c r="P91" s="39">
        <f t="shared" si="29"/>
        <v>5664</v>
      </c>
      <c r="Q91" s="23">
        <f>2000+2000+1664</f>
        <v>5664</v>
      </c>
      <c r="R91" s="46">
        <f t="shared" si="30"/>
        <v>0</v>
      </c>
      <c r="S91" s="42" t="s">
        <v>116</v>
      </c>
      <c r="T91" s="42" t="s">
        <v>116</v>
      </c>
      <c r="U91" s="19">
        <v>311693869</v>
      </c>
      <c r="V91" s="52"/>
    </row>
    <row r="92" spans="1:23" ht="13.8" customHeight="1" x14ac:dyDescent="0.3">
      <c r="A92" s="19" t="s">
        <v>134</v>
      </c>
      <c r="B92" s="19" t="s">
        <v>8</v>
      </c>
      <c r="C92" s="19" t="s">
        <v>303</v>
      </c>
      <c r="D92" s="20">
        <v>46206</v>
      </c>
      <c r="E92" s="20">
        <v>46203</v>
      </c>
      <c r="F92" s="21" t="s">
        <v>304</v>
      </c>
      <c r="G92" s="19" t="s">
        <v>73</v>
      </c>
      <c r="J92" s="19" t="s">
        <v>4</v>
      </c>
      <c r="K92" s="19" t="s">
        <v>12</v>
      </c>
      <c r="L92" s="25">
        <v>3000</v>
      </c>
      <c r="M92" s="22">
        <f t="shared" si="27"/>
        <v>540</v>
      </c>
      <c r="N92" s="37">
        <f t="shared" si="28"/>
        <v>3540</v>
      </c>
      <c r="O92" s="38">
        <v>141</v>
      </c>
      <c r="P92" s="39">
        <f t="shared" si="29"/>
        <v>3399</v>
      </c>
      <c r="Q92" s="23">
        <f>1500+1899</f>
        <v>3399</v>
      </c>
      <c r="R92" s="46">
        <f t="shared" si="30"/>
        <v>0</v>
      </c>
      <c r="S92" s="42" t="s">
        <v>116</v>
      </c>
      <c r="T92" s="42" t="s">
        <v>116</v>
      </c>
      <c r="U92" s="19">
        <v>311695029</v>
      </c>
    </row>
    <row r="93" spans="1:23" ht="13.8" customHeight="1" x14ac:dyDescent="0.3">
      <c r="A93" s="19" t="s">
        <v>19</v>
      </c>
      <c r="B93" s="19" t="s">
        <v>16</v>
      </c>
      <c r="C93" s="19" t="s">
        <v>308</v>
      </c>
      <c r="D93" s="20">
        <v>46205</v>
      </c>
      <c r="E93" s="20">
        <v>46204</v>
      </c>
      <c r="F93" s="21" t="s">
        <v>52</v>
      </c>
      <c r="G93" s="19" t="s">
        <v>73</v>
      </c>
      <c r="J93" s="19" t="s">
        <v>4</v>
      </c>
      <c r="K93" s="19" t="s">
        <v>7</v>
      </c>
      <c r="L93" s="25">
        <v>4000</v>
      </c>
      <c r="M93" s="22">
        <f t="shared" si="27"/>
        <v>720</v>
      </c>
      <c r="N93" s="37">
        <f t="shared" si="28"/>
        <v>4720</v>
      </c>
      <c r="O93" s="38">
        <v>189</v>
      </c>
      <c r="P93" s="39">
        <f t="shared" si="29"/>
        <v>4531</v>
      </c>
      <c r="Q93" s="23">
        <f>266.33+4264.67</f>
        <v>4531</v>
      </c>
      <c r="R93" s="46">
        <f t="shared" si="30"/>
        <v>0</v>
      </c>
      <c r="S93" s="42" t="s">
        <v>116</v>
      </c>
      <c r="T93" s="42" t="s">
        <v>116</v>
      </c>
      <c r="U93" s="19">
        <v>311696706</v>
      </c>
      <c r="V93" s="19">
        <v>6039304</v>
      </c>
    </row>
    <row r="94" spans="1:23" ht="13.8" customHeight="1" x14ac:dyDescent="0.3">
      <c r="A94" s="19" t="s">
        <v>325</v>
      </c>
      <c r="B94" s="19" t="s">
        <v>283</v>
      </c>
      <c r="C94" s="19" t="s">
        <v>314</v>
      </c>
      <c r="D94" s="20">
        <v>46207</v>
      </c>
      <c r="E94" s="20">
        <v>46204</v>
      </c>
      <c r="F94" s="21" t="s">
        <v>287</v>
      </c>
      <c r="G94" s="19" t="s">
        <v>267</v>
      </c>
      <c r="J94" s="19" t="s">
        <v>4</v>
      </c>
      <c r="K94" s="19" t="s">
        <v>4</v>
      </c>
      <c r="L94" s="25">
        <v>1200</v>
      </c>
      <c r="M94" s="22">
        <f t="shared" si="27"/>
        <v>216</v>
      </c>
      <c r="N94" s="37">
        <f t="shared" si="28"/>
        <v>1416</v>
      </c>
      <c r="O94" s="38">
        <v>57</v>
      </c>
      <c r="P94" s="39">
        <f t="shared" si="29"/>
        <v>1359</v>
      </c>
      <c r="Q94" s="23">
        <v>1255</v>
      </c>
      <c r="R94" s="46">
        <f t="shared" si="30"/>
        <v>104</v>
      </c>
      <c r="S94" s="42" t="s">
        <v>116</v>
      </c>
      <c r="T94" s="42" t="s">
        <v>116</v>
      </c>
      <c r="U94" s="19">
        <v>311699140</v>
      </c>
      <c r="V94" s="48">
        <v>6104804</v>
      </c>
    </row>
    <row r="95" spans="1:23" ht="13.8" customHeight="1" x14ac:dyDescent="0.3">
      <c r="A95" s="19" t="s">
        <v>325</v>
      </c>
      <c r="B95" s="19" t="s">
        <v>283</v>
      </c>
      <c r="C95" s="19" t="s">
        <v>313</v>
      </c>
      <c r="D95" s="20">
        <v>46207</v>
      </c>
      <c r="E95" s="20">
        <v>46206</v>
      </c>
      <c r="F95" s="21" t="s">
        <v>287</v>
      </c>
      <c r="G95" s="19" t="s">
        <v>267</v>
      </c>
      <c r="J95" s="19" t="s">
        <v>4</v>
      </c>
      <c r="K95" s="19" t="s">
        <v>4</v>
      </c>
      <c r="L95" s="25">
        <v>600</v>
      </c>
      <c r="M95" s="22">
        <f t="shared" ref="M95:M113" si="31">L95*0.18</f>
        <v>108</v>
      </c>
      <c r="N95" s="37">
        <f t="shared" si="28"/>
        <v>708</v>
      </c>
      <c r="O95" s="38">
        <v>29</v>
      </c>
      <c r="P95" s="39">
        <f t="shared" si="29"/>
        <v>679</v>
      </c>
      <c r="Q95" s="23">
        <v>679</v>
      </c>
      <c r="R95" s="46">
        <f t="shared" si="30"/>
        <v>0</v>
      </c>
      <c r="S95" s="42" t="s">
        <v>116</v>
      </c>
      <c r="T95" s="42" t="s">
        <v>116</v>
      </c>
      <c r="U95" s="19">
        <v>311699640</v>
      </c>
      <c r="V95" s="19">
        <v>6101812</v>
      </c>
    </row>
    <row r="96" spans="1:23" ht="13.8" customHeight="1" x14ac:dyDescent="0.3">
      <c r="A96" s="19" t="s">
        <v>332</v>
      </c>
      <c r="B96" s="19" t="s">
        <v>8</v>
      </c>
      <c r="C96" s="19" t="s">
        <v>315</v>
      </c>
      <c r="D96" s="20">
        <v>46223</v>
      </c>
      <c r="E96" s="20">
        <v>46212</v>
      </c>
      <c r="F96" s="21" t="s">
        <v>304</v>
      </c>
      <c r="G96" s="19" t="s">
        <v>73</v>
      </c>
      <c r="J96" s="19" t="s">
        <v>4</v>
      </c>
      <c r="K96" s="19" t="s">
        <v>319</v>
      </c>
      <c r="L96" s="25">
        <v>3000</v>
      </c>
      <c r="M96" s="22">
        <f t="shared" si="31"/>
        <v>540</v>
      </c>
      <c r="N96" s="37">
        <f>L96+M96</f>
        <v>3540</v>
      </c>
      <c r="O96" s="38">
        <v>141</v>
      </c>
      <c r="P96" s="39">
        <f>N96-O96</f>
        <v>3399</v>
      </c>
      <c r="Q96" s="23">
        <v>3399</v>
      </c>
      <c r="R96" s="46">
        <f t="shared" ref="R96:R113" si="32">P96-Q96</f>
        <v>0</v>
      </c>
      <c r="S96" s="42" t="s">
        <v>116</v>
      </c>
      <c r="T96" s="42" t="s">
        <v>116</v>
      </c>
      <c r="U96" s="19">
        <v>311700072</v>
      </c>
      <c r="V96" s="19">
        <v>6116980</v>
      </c>
    </row>
    <row r="97" spans="1:22" x14ac:dyDescent="0.3">
      <c r="A97" s="19" t="s">
        <v>332</v>
      </c>
      <c r="B97" s="19" t="s">
        <v>8</v>
      </c>
      <c r="C97" s="19" t="s">
        <v>316</v>
      </c>
      <c r="D97" s="20">
        <v>46223</v>
      </c>
      <c r="E97" s="20">
        <v>46221</v>
      </c>
      <c r="F97" s="21" t="s">
        <v>209</v>
      </c>
      <c r="G97" s="19" t="s">
        <v>267</v>
      </c>
      <c r="J97" s="19" t="s">
        <v>4</v>
      </c>
      <c r="K97" s="19" t="s">
        <v>242</v>
      </c>
      <c r="L97" s="25">
        <v>1200</v>
      </c>
      <c r="M97" s="22">
        <f t="shared" si="31"/>
        <v>216</v>
      </c>
      <c r="N97" s="37">
        <f>L97+M97</f>
        <v>1416</v>
      </c>
      <c r="O97" s="38">
        <v>57</v>
      </c>
      <c r="P97" s="39">
        <f>N97-O97</f>
        <v>1359</v>
      </c>
      <c r="Q97" s="23">
        <v>1359</v>
      </c>
      <c r="R97" s="46">
        <f t="shared" si="32"/>
        <v>0</v>
      </c>
      <c r="S97" s="42" t="s">
        <v>116</v>
      </c>
      <c r="T97" s="42" t="s">
        <v>116</v>
      </c>
      <c r="U97" s="19">
        <v>311700443</v>
      </c>
      <c r="V97" s="19">
        <v>6117964</v>
      </c>
    </row>
    <row r="98" spans="1:22" x14ac:dyDescent="0.3">
      <c r="A98" s="19" t="s">
        <v>332</v>
      </c>
      <c r="B98" s="19" t="s">
        <v>8</v>
      </c>
      <c r="C98" s="19" t="s">
        <v>317</v>
      </c>
      <c r="D98" s="20">
        <v>46223</v>
      </c>
      <c r="E98" s="20">
        <v>46214</v>
      </c>
      <c r="F98" s="21" t="s">
        <v>304</v>
      </c>
      <c r="G98" s="19" t="s">
        <v>73</v>
      </c>
      <c r="J98" s="19" t="s">
        <v>4</v>
      </c>
      <c r="K98" s="19" t="s">
        <v>9</v>
      </c>
      <c r="L98" s="25">
        <v>6000</v>
      </c>
      <c r="M98" s="22">
        <f t="shared" si="31"/>
        <v>1080</v>
      </c>
      <c r="N98" s="37">
        <f>L98+M98</f>
        <v>7080</v>
      </c>
      <c r="O98" s="38">
        <v>283</v>
      </c>
      <c r="P98" s="39">
        <f>N98-O98</f>
        <v>6797</v>
      </c>
      <c r="Q98" s="23">
        <v>6797</v>
      </c>
      <c r="R98" s="46">
        <f t="shared" si="32"/>
        <v>0</v>
      </c>
      <c r="S98" s="42" t="s">
        <v>116</v>
      </c>
      <c r="T98" s="42" t="s">
        <v>116</v>
      </c>
      <c r="U98" s="19">
        <v>311701847</v>
      </c>
      <c r="V98" s="19">
        <v>6119924</v>
      </c>
    </row>
    <row r="99" spans="1:22" x14ac:dyDescent="0.3">
      <c r="A99" s="19" t="s">
        <v>332</v>
      </c>
      <c r="B99" s="19" t="s">
        <v>8</v>
      </c>
      <c r="C99" s="19" t="s">
        <v>318</v>
      </c>
      <c r="D99" s="20">
        <v>46223</v>
      </c>
      <c r="E99" s="20">
        <v>46211</v>
      </c>
      <c r="F99" s="21" t="s">
        <v>52</v>
      </c>
      <c r="G99" s="19" t="s">
        <v>73</v>
      </c>
      <c r="J99" s="19" t="s">
        <v>4</v>
      </c>
      <c r="K99" s="19" t="s">
        <v>320</v>
      </c>
      <c r="L99" s="25">
        <v>2700</v>
      </c>
      <c r="M99" s="22">
        <f t="shared" si="31"/>
        <v>486</v>
      </c>
      <c r="N99" s="37">
        <f t="shared" ref="N99:N113" si="33">L99+M99</f>
        <v>3186</v>
      </c>
      <c r="O99" s="38">
        <v>128</v>
      </c>
      <c r="P99" s="39">
        <f t="shared" ref="P99:P113" si="34">N99-O99</f>
        <v>3058</v>
      </c>
      <c r="Q99" s="23">
        <v>3058</v>
      </c>
      <c r="R99" s="46">
        <f t="shared" si="32"/>
        <v>0</v>
      </c>
      <c r="S99" s="42" t="s">
        <v>116</v>
      </c>
      <c r="T99" s="42" t="s">
        <v>116</v>
      </c>
      <c r="U99" s="19">
        <v>311702435</v>
      </c>
      <c r="V99" s="19">
        <v>6065137</v>
      </c>
    </row>
    <row r="100" spans="1:22" x14ac:dyDescent="0.3">
      <c r="A100" s="19" t="s">
        <v>309</v>
      </c>
      <c r="B100" s="19" t="s">
        <v>310</v>
      </c>
      <c r="C100" s="19" t="s">
        <v>326</v>
      </c>
      <c r="D100" s="20">
        <v>46215</v>
      </c>
      <c r="E100" s="20">
        <v>46214</v>
      </c>
      <c r="F100" s="21" t="s">
        <v>312</v>
      </c>
      <c r="G100" s="19" t="s">
        <v>267</v>
      </c>
      <c r="J100" s="19" t="s">
        <v>4</v>
      </c>
      <c r="K100" s="19" t="s">
        <v>323</v>
      </c>
      <c r="L100" s="25">
        <v>600</v>
      </c>
      <c r="M100" s="22">
        <f t="shared" si="31"/>
        <v>108</v>
      </c>
      <c r="N100" s="37">
        <f t="shared" si="33"/>
        <v>708</v>
      </c>
      <c r="O100" s="38">
        <v>29</v>
      </c>
      <c r="P100" s="39">
        <f t="shared" si="34"/>
        <v>679</v>
      </c>
      <c r="Q100" s="23">
        <v>679</v>
      </c>
      <c r="R100" s="46">
        <f t="shared" si="32"/>
        <v>0</v>
      </c>
      <c r="S100" s="42" t="s">
        <v>116</v>
      </c>
      <c r="T100" s="42" t="s">
        <v>116</v>
      </c>
      <c r="U100" s="19">
        <v>311703224</v>
      </c>
      <c r="V100" s="48">
        <v>6101228</v>
      </c>
    </row>
    <row r="101" spans="1:22" x14ac:dyDescent="0.3">
      <c r="A101" s="19" t="s">
        <v>19</v>
      </c>
      <c r="B101" s="19" t="s">
        <v>16</v>
      </c>
      <c r="C101" s="19" t="s">
        <v>324</v>
      </c>
      <c r="D101" s="20">
        <v>46217</v>
      </c>
      <c r="E101" s="20">
        <v>46217</v>
      </c>
      <c r="F101" s="21" t="s">
        <v>52</v>
      </c>
      <c r="G101" s="19" t="s">
        <v>73</v>
      </c>
      <c r="J101" s="19" t="s">
        <v>4</v>
      </c>
      <c r="K101" s="19" t="s">
        <v>11</v>
      </c>
      <c r="L101" s="25">
        <v>5500</v>
      </c>
      <c r="M101" s="22">
        <f t="shared" si="31"/>
        <v>990</v>
      </c>
      <c r="N101" s="37">
        <f t="shared" si="33"/>
        <v>6490</v>
      </c>
      <c r="O101" s="38">
        <v>260</v>
      </c>
      <c r="P101" s="39">
        <f t="shared" si="34"/>
        <v>6230</v>
      </c>
      <c r="Q101" s="23">
        <f>3000+3230</f>
        <v>6230</v>
      </c>
      <c r="R101" s="46">
        <f t="shared" si="32"/>
        <v>0</v>
      </c>
      <c r="S101" s="42" t="s">
        <v>116</v>
      </c>
      <c r="T101" s="42" t="s">
        <v>116</v>
      </c>
      <c r="U101" s="19">
        <v>311704353</v>
      </c>
      <c r="V101" s="19">
        <v>6002135</v>
      </c>
    </row>
    <row r="102" spans="1:22" x14ac:dyDescent="0.3">
      <c r="A102" s="19" t="s">
        <v>19</v>
      </c>
      <c r="B102" s="19" t="s">
        <v>104</v>
      </c>
      <c r="C102" s="19" t="s">
        <v>322</v>
      </c>
      <c r="D102" s="20">
        <v>46219</v>
      </c>
      <c r="E102" s="20">
        <v>46213</v>
      </c>
      <c r="F102" s="21" t="s">
        <v>225</v>
      </c>
      <c r="G102" s="19" t="s">
        <v>267</v>
      </c>
      <c r="J102" s="19" t="s">
        <v>4</v>
      </c>
      <c r="K102" s="19" t="s">
        <v>323</v>
      </c>
      <c r="L102" s="25">
        <v>650</v>
      </c>
      <c r="M102" s="22">
        <f t="shared" si="31"/>
        <v>117</v>
      </c>
      <c r="N102" s="37">
        <f t="shared" si="33"/>
        <v>767</v>
      </c>
      <c r="O102" s="38">
        <v>30</v>
      </c>
      <c r="P102" s="39">
        <f t="shared" si="34"/>
        <v>737</v>
      </c>
      <c r="Q102" s="23">
        <v>737</v>
      </c>
      <c r="R102" s="46">
        <f t="shared" si="32"/>
        <v>0</v>
      </c>
      <c r="S102" s="42" t="s">
        <v>116</v>
      </c>
      <c r="T102" s="42" t="s">
        <v>116</v>
      </c>
      <c r="U102" s="19">
        <v>311705791</v>
      </c>
      <c r="V102" s="19">
        <v>6074134</v>
      </c>
    </row>
    <row r="103" spans="1:22" x14ac:dyDescent="0.3">
      <c r="A103" s="19" t="s">
        <v>82</v>
      </c>
      <c r="B103" s="19" t="s">
        <v>343</v>
      </c>
      <c r="C103" s="19" t="s">
        <v>345</v>
      </c>
      <c r="D103" s="20">
        <v>46219</v>
      </c>
      <c r="E103" s="20"/>
      <c r="F103" s="21" t="s">
        <v>121</v>
      </c>
      <c r="K103" s="19" t="s">
        <v>2</v>
      </c>
      <c r="L103" s="25">
        <v>4830.5079999999998</v>
      </c>
      <c r="M103" s="22">
        <f t="shared" si="31"/>
        <v>869.4914399999999</v>
      </c>
      <c r="N103" s="37">
        <f t="shared" si="33"/>
        <v>5699.9994399999996</v>
      </c>
      <c r="O103" s="38">
        <f>N103*4%</f>
        <v>227.99997759999999</v>
      </c>
      <c r="P103" s="39">
        <f t="shared" si="34"/>
        <v>5471.9994623999992</v>
      </c>
      <c r="Q103" s="23">
        <v>5472</v>
      </c>
      <c r="R103" s="46">
        <f t="shared" si="32"/>
        <v>-5.3760000082547776E-4</v>
      </c>
      <c r="S103" s="42" t="s">
        <v>116</v>
      </c>
      <c r="T103" s="42" t="s">
        <v>116</v>
      </c>
      <c r="U103" s="19">
        <v>311799604</v>
      </c>
      <c r="V103" s="19">
        <v>6030038</v>
      </c>
    </row>
    <row r="104" spans="1:22" x14ac:dyDescent="0.3">
      <c r="A104" s="19" t="s">
        <v>348</v>
      </c>
      <c r="B104" s="19" t="s">
        <v>262</v>
      </c>
      <c r="C104" s="19" t="s">
        <v>197</v>
      </c>
      <c r="D104" s="20">
        <v>46225</v>
      </c>
      <c r="E104" s="20"/>
      <c r="F104" s="21" t="s">
        <v>266</v>
      </c>
      <c r="G104" s="19" t="s">
        <v>267</v>
      </c>
      <c r="J104" s="19" t="s">
        <v>4</v>
      </c>
      <c r="K104" s="19" t="s">
        <v>4</v>
      </c>
      <c r="L104" s="24">
        <v>4600</v>
      </c>
      <c r="M104" s="22">
        <f>L104*0.18</f>
        <v>828</v>
      </c>
      <c r="N104" s="37">
        <f>L104+M104</f>
        <v>5428</v>
      </c>
      <c r="O104" s="38">
        <v>218</v>
      </c>
      <c r="P104" s="39">
        <f>N104-O104</f>
        <v>5210</v>
      </c>
      <c r="Q104" s="23"/>
      <c r="R104" s="46">
        <f>P104-Q104</f>
        <v>5210</v>
      </c>
      <c r="S104" s="42" t="s">
        <v>116</v>
      </c>
      <c r="T104" s="42" t="s">
        <v>116</v>
      </c>
      <c r="U104" s="19">
        <v>313215481</v>
      </c>
      <c r="V104" s="19">
        <v>6094338</v>
      </c>
    </row>
    <row r="105" spans="1:22" x14ac:dyDescent="0.3">
      <c r="A105" s="19" t="s">
        <v>309</v>
      </c>
      <c r="B105" s="19" t="s">
        <v>310</v>
      </c>
      <c r="C105" s="19" t="s">
        <v>321</v>
      </c>
      <c r="D105" s="20">
        <v>46227</v>
      </c>
      <c r="E105" s="20">
        <v>46216</v>
      </c>
      <c r="F105" s="21" t="s">
        <v>312</v>
      </c>
      <c r="G105" s="19" t="s">
        <v>267</v>
      </c>
      <c r="J105" s="19" t="s">
        <v>4</v>
      </c>
      <c r="K105" s="19" t="s">
        <v>323</v>
      </c>
      <c r="L105" s="25">
        <v>700</v>
      </c>
      <c r="M105" s="22">
        <f t="shared" si="31"/>
        <v>126</v>
      </c>
      <c r="N105" s="37">
        <f t="shared" si="33"/>
        <v>826</v>
      </c>
      <c r="O105" s="38">
        <v>33</v>
      </c>
      <c r="P105" s="39">
        <f t="shared" si="34"/>
        <v>793</v>
      </c>
      <c r="Q105" s="23">
        <v>793</v>
      </c>
      <c r="R105" s="46">
        <f t="shared" si="32"/>
        <v>0</v>
      </c>
      <c r="S105" s="42" t="s">
        <v>116</v>
      </c>
      <c r="T105" s="42" t="s">
        <v>116</v>
      </c>
      <c r="U105" s="19">
        <v>311706166</v>
      </c>
      <c r="V105" s="48">
        <v>6101196</v>
      </c>
    </row>
    <row r="106" spans="1:22" x14ac:dyDescent="0.3">
      <c r="A106" s="19" t="s">
        <v>336</v>
      </c>
      <c r="B106" s="19" t="s">
        <v>337</v>
      </c>
      <c r="C106" s="19" t="s">
        <v>338</v>
      </c>
      <c r="D106" s="20">
        <v>46233</v>
      </c>
      <c r="E106" s="20">
        <v>46233</v>
      </c>
      <c r="G106" s="19" t="s">
        <v>70</v>
      </c>
      <c r="J106" s="19" t="s">
        <v>4</v>
      </c>
      <c r="K106" s="19" t="s">
        <v>4</v>
      </c>
      <c r="L106" s="25">
        <v>360</v>
      </c>
      <c r="M106" s="22">
        <f t="shared" si="31"/>
        <v>64.8</v>
      </c>
      <c r="N106" s="37">
        <f t="shared" si="33"/>
        <v>424.8</v>
      </c>
      <c r="O106" s="38">
        <v>17</v>
      </c>
      <c r="P106" s="39">
        <f t="shared" si="34"/>
        <v>407.8</v>
      </c>
      <c r="Q106" s="23">
        <v>407.8</v>
      </c>
      <c r="R106" s="46">
        <f t="shared" si="32"/>
        <v>0</v>
      </c>
      <c r="S106" s="42" t="s">
        <v>116</v>
      </c>
      <c r="T106" s="42" t="s">
        <v>116</v>
      </c>
      <c r="U106" s="43">
        <v>311674958</v>
      </c>
      <c r="V106" s="48">
        <v>150441</v>
      </c>
    </row>
    <row r="107" spans="1:22" x14ac:dyDescent="0.3">
      <c r="A107" s="19" t="s">
        <v>336</v>
      </c>
      <c r="B107" s="19" t="s">
        <v>337</v>
      </c>
      <c r="C107" s="19" t="s">
        <v>339</v>
      </c>
      <c r="D107" s="20">
        <v>46234</v>
      </c>
      <c r="E107" s="20">
        <v>46234</v>
      </c>
      <c r="G107" s="19" t="s">
        <v>70</v>
      </c>
      <c r="J107" s="19" t="s">
        <v>4</v>
      </c>
      <c r="K107" s="19" t="s">
        <v>4</v>
      </c>
      <c r="L107" s="25">
        <v>360</v>
      </c>
      <c r="M107" s="22">
        <f t="shared" si="31"/>
        <v>64.8</v>
      </c>
      <c r="N107" s="37">
        <f t="shared" si="33"/>
        <v>424.8</v>
      </c>
      <c r="O107" s="38">
        <v>17</v>
      </c>
      <c r="P107" s="39">
        <f t="shared" si="34"/>
        <v>407.8</v>
      </c>
      <c r="Q107" s="23">
        <v>407.8</v>
      </c>
      <c r="R107" s="46">
        <f t="shared" si="32"/>
        <v>0</v>
      </c>
      <c r="S107" s="42" t="s">
        <v>116</v>
      </c>
      <c r="T107" s="42" t="s">
        <v>116</v>
      </c>
      <c r="U107" s="43">
        <v>311677136</v>
      </c>
      <c r="V107" s="48">
        <v>162139</v>
      </c>
    </row>
    <row r="108" spans="1:22" x14ac:dyDescent="0.3">
      <c r="A108" s="19" t="s">
        <v>342</v>
      </c>
      <c r="B108" s="19" t="s">
        <v>340</v>
      </c>
      <c r="C108" s="19" t="s">
        <v>352</v>
      </c>
      <c r="D108" s="20">
        <v>46230</v>
      </c>
      <c r="E108" s="20">
        <v>46228</v>
      </c>
      <c r="F108" s="21" t="s">
        <v>341</v>
      </c>
      <c r="G108" s="19" t="s">
        <v>267</v>
      </c>
      <c r="J108" s="19" t="s">
        <v>4</v>
      </c>
      <c r="K108" s="19" t="s">
        <v>4</v>
      </c>
      <c r="L108" s="25">
        <v>600</v>
      </c>
      <c r="M108" s="22">
        <f t="shared" si="31"/>
        <v>108</v>
      </c>
      <c r="N108" s="37">
        <f t="shared" si="33"/>
        <v>708</v>
      </c>
      <c r="O108" s="38">
        <v>29</v>
      </c>
      <c r="P108" s="39">
        <f t="shared" si="34"/>
        <v>679</v>
      </c>
      <c r="Q108" s="23">
        <v>679</v>
      </c>
      <c r="R108" s="46">
        <f t="shared" si="32"/>
        <v>0</v>
      </c>
      <c r="S108" s="42" t="s">
        <v>116</v>
      </c>
      <c r="T108" s="42" t="s">
        <v>116</v>
      </c>
      <c r="U108" s="43">
        <v>311686962</v>
      </c>
      <c r="V108" s="48">
        <v>6096616</v>
      </c>
    </row>
    <row r="109" spans="1:22" x14ac:dyDescent="0.3">
      <c r="A109" s="19" t="s">
        <v>82</v>
      </c>
      <c r="B109" s="19" t="s">
        <v>343</v>
      </c>
      <c r="C109" s="19" t="s">
        <v>346</v>
      </c>
      <c r="D109" s="20">
        <v>46230</v>
      </c>
      <c r="E109" s="20"/>
      <c r="F109" s="21" t="s">
        <v>347</v>
      </c>
      <c r="K109" s="19" t="s">
        <v>190</v>
      </c>
      <c r="L109" s="25">
        <v>3813.56</v>
      </c>
      <c r="M109" s="22">
        <f t="shared" si="31"/>
        <v>686.44079999999997</v>
      </c>
      <c r="N109" s="37">
        <f t="shared" si="33"/>
        <v>4500.0007999999998</v>
      </c>
      <c r="O109" s="38">
        <f>N109*4%</f>
        <v>180.000032</v>
      </c>
      <c r="P109" s="39">
        <f t="shared" si="34"/>
        <v>4320.0007679999999</v>
      </c>
      <c r="Q109" s="23">
        <v>4320</v>
      </c>
      <c r="R109" s="46">
        <f t="shared" si="32"/>
        <v>7.679999998799758E-4</v>
      </c>
      <c r="S109" s="42" t="s">
        <v>116</v>
      </c>
      <c r="T109" s="42" t="s">
        <v>116</v>
      </c>
      <c r="U109" s="19">
        <v>311800265</v>
      </c>
      <c r="V109" s="48">
        <v>6119620</v>
      </c>
    </row>
    <row r="110" spans="1:22" x14ac:dyDescent="0.3">
      <c r="A110" s="19" t="s">
        <v>82</v>
      </c>
      <c r="B110" s="19" t="s">
        <v>343</v>
      </c>
      <c r="C110" s="19" t="s">
        <v>344</v>
      </c>
      <c r="D110" s="20">
        <v>46230</v>
      </c>
      <c r="E110" s="20"/>
      <c r="F110" s="21" t="s">
        <v>121</v>
      </c>
      <c r="K110" s="19" t="s">
        <v>217</v>
      </c>
      <c r="L110" s="25">
        <v>4745.76</v>
      </c>
      <c r="M110" s="22">
        <f t="shared" si="31"/>
        <v>854.23680000000002</v>
      </c>
      <c r="N110" s="37">
        <f t="shared" si="33"/>
        <v>5599.9967999999999</v>
      </c>
      <c r="O110" s="38">
        <f>N110*4%</f>
        <v>223.99987200000001</v>
      </c>
      <c r="P110" s="39">
        <f t="shared" si="34"/>
        <v>5375.9969279999996</v>
      </c>
      <c r="Q110" s="23">
        <v>5376</v>
      </c>
      <c r="R110" s="46">
        <f t="shared" si="32"/>
        <v>-3.0720000004293979E-3</v>
      </c>
      <c r="S110" s="42" t="s">
        <v>116</v>
      </c>
      <c r="T110" s="42" t="s">
        <v>116</v>
      </c>
      <c r="U110" s="19">
        <v>311801216</v>
      </c>
    </row>
    <row r="111" spans="1:22" x14ac:dyDescent="0.3">
      <c r="A111" s="19" t="s">
        <v>325</v>
      </c>
      <c r="B111" s="19" t="s">
        <v>283</v>
      </c>
      <c r="C111" s="19" t="s">
        <v>327</v>
      </c>
      <c r="D111" s="20">
        <v>46235</v>
      </c>
      <c r="E111" s="20">
        <v>46234</v>
      </c>
      <c r="F111" s="21" t="s">
        <v>287</v>
      </c>
      <c r="G111" s="19" t="s">
        <v>267</v>
      </c>
      <c r="J111" s="19" t="s">
        <v>4</v>
      </c>
      <c r="K111" s="19" t="s">
        <v>323</v>
      </c>
      <c r="L111" s="25">
        <v>1200</v>
      </c>
      <c r="M111" s="22">
        <f t="shared" si="31"/>
        <v>216</v>
      </c>
      <c r="N111" s="37">
        <f t="shared" si="33"/>
        <v>1416</v>
      </c>
      <c r="O111" s="38">
        <v>57</v>
      </c>
      <c r="P111" s="39">
        <f t="shared" si="34"/>
        <v>1359</v>
      </c>
      <c r="Q111" s="23"/>
      <c r="R111" s="46">
        <f t="shared" si="32"/>
        <v>1359</v>
      </c>
      <c r="S111" s="42" t="s">
        <v>116</v>
      </c>
      <c r="T111" s="42" t="s">
        <v>116</v>
      </c>
      <c r="U111" s="43">
        <v>312683122</v>
      </c>
      <c r="V111" s="48">
        <v>6037732</v>
      </c>
    </row>
    <row r="112" spans="1:22" x14ac:dyDescent="0.3">
      <c r="A112" s="19" t="s">
        <v>325</v>
      </c>
      <c r="B112" s="19" t="s">
        <v>283</v>
      </c>
      <c r="C112" s="19" t="s">
        <v>328</v>
      </c>
      <c r="D112" s="20">
        <v>46235</v>
      </c>
      <c r="E112" s="20">
        <v>46231</v>
      </c>
      <c r="F112" s="21" t="s">
        <v>287</v>
      </c>
      <c r="G112" s="19" t="s">
        <v>267</v>
      </c>
      <c r="J112" s="19" t="s">
        <v>4</v>
      </c>
      <c r="K112" s="19" t="s">
        <v>323</v>
      </c>
      <c r="L112" s="25">
        <v>1200</v>
      </c>
      <c r="M112" s="22">
        <f t="shared" si="31"/>
        <v>216</v>
      </c>
      <c r="N112" s="37">
        <f t="shared" si="33"/>
        <v>1416</v>
      </c>
      <c r="O112" s="38">
        <v>57</v>
      </c>
      <c r="P112" s="39">
        <f t="shared" si="34"/>
        <v>1359</v>
      </c>
      <c r="Q112" s="23"/>
      <c r="R112" s="46">
        <f t="shared" si="32"/>
        <v>1359</v>
      </c>
      <c r="S112" s="42" t="s">
        <v>116</v>
      </c>
      <c r="T112" s="42" t="s">
        <v>116</v>
      </c>
      <c r="U112" s="43">
        <v>312683272</v>
      </c>
      <c r="V112" s="19">
        <v>6035753</v>
      </c>
    </row>
    <row r="113" spans="1:22" x14ac:dyDescent="0.3">
      <c r="A113" s="19" t="s">
        <v>325</v>
      </c>
      <c r="B113" s="19" t="s">
        <v>283</v>
      </c>
      <c r="C113" s="19" t="s">
        <v>329</v>
      </c>
      <c r="D113" s="20">
        <v>46235</v>
      </c>
      <c r="E113" s="20">
        <v>46228</v>
      </c>
      <c r="F113" s="21" t="s">
        <v>287</v>
      </c>
      <c r="G113" s="19" t="s">
        <v>267</v>
      </c>
      <c r="J113" s="19" t="s">
        <v>4</v>
      </c>
      <c r="K113" s="19" t="s">
        <v>323</v>
      </c>
      <c r="L113" s="25">
        <v>600</v>
      </c>
      <c r="M113" s="22">
        <f t="shared" si="31"/>
        <v>108</v>
      </c>
      <c r="N113" s="37">
        <f t="shared" si="33"/>
        <v>708</v>
      </c>
      <c r="O113" s="38">
        <v>28</v>
      </c>
      <c r="P113" s="39">
        <f t="shared" si="34"/>
        <v>680</v>
      </c>
      <c r="Q113" s="23"/>
      <c r="R113" s="46">
        <f t="shared" si="32"/>
        <v>680</v>
      </c>
      <c r="S113" s="42" t="s">
        <v>116</v>
      </c>
      <c r="T113" s="42" t="s">
        <v>116</v>
      </c>
      <c r="U113" s="43">
        <v>312683331</v>
      </c>
      <c r="V113" s="19">
        <v>6035781</v>
      </c>
    </row>
    <row r="114" spans="1:22" x14ac:dyDescent="0.3">
      <c r="A114" s="19" t="s">
        <v>325</v>
      </c>
      <c r="B114" s="19" t="s">
        <v>283</v>
      </c>
      <c r="C114" s="19" t="s">
        <v>330</v>
      </c>
      <c r="D114" s="20">
        <v>46235</v>
      </c>
      <c r="E114" s="20">
        <v>46230</v>
      </c>
      <c r="F114" s="21" t="s">
        <v>287</v>
      </c>
      <c r="G114" s="19" t="s">
        <v>267</v>
      </c>
      <c r="J114" s="19" t="s">
        <v>4</v>
      </c>
      <c r="K114" s="19" t="s">
        <v>323</v>
      </c>
      <c r="L114" s="25">
        <v>1200</v>
      </c>
      <c r="M114" s="22">
        <f>L114*0.18</f>
        <v>216</v>
      </c>
      <c r="N114" s="37">
        <f>L114+M114</f>
        <v>1416</v>
      </c>
      <c r="O114" s="38">
        <v>57</v>
      </c>
      <c r="P114" s="39">
        <f>N114-O114</f>
        <v>1359</v>
      </c>
      <c r="Q114" s="23"/>
      <c r="R114" s="46">
        <f>P114-Q114</f>
        <v>1359</v>
      </c>
      <c r="S114" s="42" t="s">
        <v>116</v>
      </c>
      <c r="T114" s="42" t="s">
        <v>116</v>
      </c>
      <c r="U114" s="43">
        <v>312685039</v>
      </c>
      <c r="V114" s="19">
        <v>6043742</v>
      </c>
    </row>
    <row r="115" spans="1:22" x14ac:dyDescent="0.3">
      <c r="A115" s="19" t="s">
        <v>325</v>
      </c>
      <c r="B115" s="19" t="s">
        <v>283</v>
      </c>
      <c r="C115" s="19" t="s">
        <v>331</v>
      </c>
      <c r="D115" s="20">
        <v>46235</v>
      </c>
      <c r="E115" s="20">
        <v>46233</v>
      </c>
      <c r="F115" s="21" t="s">
        <v>287</v>
      </c>
      <c r="G115" s="19" t="s">
        <v>267</v>
      </c>
      <c r="J115" s="19" t="s">
        <v>4</v>
      </c>
      <c r="K115" s="19" t="s">
        <v>323</v>
      </c>
      <c r="L115" s="25">
        <v>1200</v>
      </c>
      <c r="M115" s="22">
        <f t="shared" ref="M115:M168" si="35">L115*0.18</f>
        <v>216</v>
      </c>
      <c r="N115" s="37">
        <f t="shared" ref="N115:N168" si="36">L115+M115</f>
        <v>1416</v>
      </c>
      <c r="O115" s="38">
        <v>57</v>
      </c>
      <c r="P115" s="39">
        <f t="shared" ref="P115:P168" si="37">N115-O115</f>
        <v>1359</v>
      </c>
      <c r="Q115" s="23"/>
      <c r="R115" s="46">
        <f t="shared" ref="R115:R168" si="38">P115-Q115</f>
        <v>1359</v>
      </c>
      <c r="S115" s="42" t="s">
        <v>116</v>
      </c>
      <c r="T115" s="42" t="s">
        <v>116</v>
      </c>
      <c r="U115" s="43">
        <v>312685119</v>
      </c>
      <c r="V115" s="48">
        <v>6040795</v>
      </c>
    </row>
    <row r="116" spans="1:22" x14ac:dyDescent="0.3">
      <c r="A116" s="19" t="s">
        <v>333</v>
      </c>
      <c r="B116" s="19" t="s">
        <v>334</v>
      </c>
      <c r="C116" s="19" t="s">
        <v>335</v>
      </c>
      <c r="D116" s="20">
        <v>46237</v>
      </c>
      <c r="E116" s="20">
        <v>46239</v>
      </c>
      <c r="G116" s="19" t="s">
        <v>70</v>
      </c>
      <c r="J116" s="19" t="s">
        <v>4</v>
      </c>
      <c r="K116" s="19" t="s">
        <v>203</v>
      </c>
      <c r="L116" s="25">
        <v>1000</v>
      </c>
      <c r="M116" s="22">
        <f t="shared" si="35"/>
        <v>180</v>
      </c>
      <c r="N116" s="37">
        <f t="shared" si="36"/>
        <v>1180</v>
      </c>
      <c r="O116" s="38">
        <v>48</v>
      </c>
      <c r="P116" s="39">
        <f t="shared" si="37"/>
        <v>1132</v>
      </c>
      <c r="Q116" s="23">
        <v>1132</v>
      </c>
      <c r="R116" s="46">
        <f t="shared" si="38"/>
        <v>0</v>
      </c>
      <c r="S116" s="42" t="s">
        <v>116</v>
      </c>
      <c r="T116" s="42" t="s">
        <v>116</v>
      </c>
      <c r="U116" s="43">
        <v>311688531</v>
      </c>
      <c r="V116" s="19">
        <v>6086107</v>
      </c>
    </row>
    <row r="117" spans="1:22" x14ac:dyDescent="0.3">
      <c r="A117" s="19" t="s">
        <v>333</v>
      </c>
      <c r="B117" s="19" t="s">
        <v>334</v>
      </c>
      <c r="C117" s="19" t="s">
        <v>349</v>
      </c>
      <c r="D117" s="20">
        <v>46245</v>
      </c>
      <c r="E117" s="20"/>
      <c r="L117" s="25">
        <v>500</v>
      </c>
      <c r="M117" s="22">
        <f t="shared" ref="M117" si="39">L117*0.18</f>
        <v>90</v>
      </c>
      <c r="N117" s="37">
        <f t="shared" ref="N117" si="40">L117+M117</f>
        <v>590</v>
      </c>
      <c r="O117" s="38">
        <v>24</v>
      </c>
      <c r="P117" s="39">
        <f t="shared" ref="P117" si="41">N117-O117</f>
        <v>566</v>
      </c>
      <c r="Q117" s="23">
        <f>500</f>
        <v>500</v>
      </c>
      <c r="R117" s="46">
        <f t="shared" ref="R117" si="42">P117-Q117</f>
        <v>66</v>
      </c>
      <c r="S117" s="42" t="s">
        <v>116</v>
      </c>
      <c r="T117" s="42" t="s">
        <v>116</v>
      </c>
      <c r="U117" s="19">
        <v>313317556</v>
      </c>
      <c r="V117" s="19">
        <v>561314</v>
      </c>
    </row>
    <row r="118" spans="1:22" x14ac:dyDescent="0.3">
      <c r="A118" s="19" t="s">
        <v>333</v>
      </c>
      <c r="B118" s="19" t="s">
        <v>334</v>
      </c>
      <c r="C118" s="19" t="s">
        <v>350</v>
      </c>
      <c r="D118" s="20">
        <v>46245</v>
      </c>
      <c r="E118" s="20"/>
      <c r="L118" s="25">
        <v>127.12</v>
      </c>
      <c r="M118" s="22">
        <f t="shared" si="35"/>
        <v>22.881599999999999</v>
      </c>
      <c r="N118" s="37">
        <f t="shared" si="36"/>
        <v>150.0016</v>
      </c>
      <c r="O118" s="38"/>
      <c r="P118" s="39">
        <f t="shared" si="37"/>
        <v>150.0016</v>
      </c>
      <c r="Q118" s="23">
        <v>150</v>
      </c>
      <c r="R118" s="46">
        <f t="shared" si="38"/>
        <v>1.5999999999962711E-3</v>
      </c>
      <c r="S118" s="42" t="s">
        <v>116</v>
      </c>
      <c r="T118" s="49" t="s">
        <v>270</v>
      </c>
      <c r="U118" s="19" t="s">
        <v>270</v>
      </c>
      <c r="V118" s="19">
        <v>561314</v>
      </c>
    </row>
    <row r="119" spans="1:22" x14ac:dyDescent="0.3">
      <c r="A119" s="19" t="s">
        <v>333</v>
      </c>
      <c r="B119" s="19" t="s">
        <v>334</v>
      </c>
      <c r="C119" s="19" t="s">
        <v>351</v>
      </c>
      <c r="D119" s="20">
        <v>46252</v>
      </c>
      <c r="E119" s="20"/>
      <c r="L119" s="25">
        <v>500</v>
      </c>
      <c r="M119" s="22">
        <f t="shared" si="35"/>
        <v>90</v>
      </c>
      <c r="N119" s="37">
        <f t="shared" si="36"/>
        <v>590</v>
      </c>
      <c r="O119" s="38">
        <v>24</v>
      </c>
      <c r="P119" s="39">
        <f t="shared" si="37"/>
        <v>566</v>
      </c>
      <c r="Q119" s="23"/>
      <c r="R119" s="46">
        <f t="shared" si="38"/>
        <v>566</v>
      </c>
      <c r="S119" s="42" t="s">
        <v>116</v>
      </c>
      <c r="T119" s="42" t="s">
        <v>116</v>
      </c>
      <c r="U119" s="43">
        <v>313318736</v>
      </c>
      <c r="V119" s="19">
        <v>6101166</v>
      </c>
    </row>
    <row r="120" spans="1:22" x14ac:dyDescent="0.3">
      <c r="A120" s="19" t="s">
        <v>342</v>
      </c>
      <c r="B120" s="19" t="s">
        <v>340</v>
      </c>
      <c r="C120" s="19" t="s">
        <v>278</v>
      </c>
      <c r="D120" s="20">
        <v>46255</v>
      </c>
      <c r="E120" s="20">
        <v>46219</v>
      </c>
      <c r="F120" s="21" t="s">
        <v>341</v>
      </c>
      <c r="G120" s="19" t="s">
        <v>267</v>
      </c>
      <c r="J120" s="19" t="s">
        <v>4</v>
      </c>
      <c r="K120" s="19" t="s">
        <v>323</v>
      </c>
      <c r="L120" s="25">
        <v>1200</v>
      </c>
      <c r="M120" s="22">
        <f t="shared" si="35"/>
        <v>216</v>
      </c>
      <c r="N120" s="37">
        <f t="shared" si="36"/>
        <v>1416</v>
      </c>
      <c r="O120" s="38">
        <v>57</v>
      </c>
      <c r="P120" s="39">
        <f t="shared" si="37"/>
        <v>1359</v>
      </c>
      <c r="Q120" s="23"/>
      <c r="R120" s="46">
        <f t="shared" si="38"/>
        <v>1359</v>
      </c>
      <c r="S120" s="42" t="s">
        <v>116</v>
      </c>
      <c r="T120" s="42" t="s">
        <v>116</v>
      </c>
      <c r="U120" s="43">
        <v>313323277</v>
      </c>
      <c r="V120" s="19">
        <v>6102542</v>
      </c>
    </row>
    <row r="121" spans="1:22" x14ac:dyDescent="0.3">
      <c r="A121" s="19" t="s">
        <v>355</v>
      </c>
      <c r="B121" s="19" t="s">
        <v>353</v>
      </c>
      <c r="C121" s="19" t="s">
        <v>354</v>
      </c>
      <c r="D121" s="20">
        <v>46227</v>
      </c>
      <c r="E121" s="20"/>
      <c r="F121" s="21" t="s">
        <v>265</v>
      </c>
      <c r="G121" s="19" t="s">
        <v>59</v>
      </c>
      <c r="J121" s="19" t="s">
        <v>4</v>
      </c>
      <c r="K121" s="19" t="s">
        <v>203</v>
      </c>
      <c r="L121" s="25">
        <v>0</v>
      </c>
      <c r="M121" s="22">
        <f t="shared" si="35"/>
        <v>0</v>
      </c>
      <c r="N121" s="37">
        <f t="shared" si="36"/>
        <v>0</v>
      </c>
      <c r="O121" s="38">
        <v>144</v>
      </c>
      <c r="P121" s="39">
        <f t="shared" si="37"/>
        <v>-144</v>
      </c>
      <c r="Q121" s="23"/>
      <c r="R121" s="46">
        <f t="shared" si="38"/>
        <v>-144</v>
      </c>
      <c r="S121" s="41" t="s">
        <v>132</v>
      </c>
      <c r="T121" s="41" t="s">
        <v>132</v>
      </c>
    </row>
    <row r="122" spans="1:22" x14ac:dyDescent="0.3">
      <c r="A122" s="19" t="s">
        <v>355</v>
      </c>
      <c r="B122" s="19" t="s">
        <v>353</v>
      </c>
      <c r="C122" s="19" t="s">
        <v>356</v>
      </c>
      <c r="D122" s="20">
        <v>46254</v>
      </c>
      <c r="E122" s="20">
        <v>46254</v>
      </c>
      <c r="F122" s="21" t="s">
        <v>265</v>
      </c>
      <c r="G122" s="19" t="s">
        <v>59</v>
      </c>
      <c r="J122" s="19" t="s">
        <v>4</v>
      </c>
      <c r="K122" s="19" t="s">
        <v>203</v>
      </c>
      <c r="L122" s="25">
        <v>3050</v>
      </c>
      <c r="M122" s="22">
        <f t="shared" si="35"/>
        <v>549</v>
      </c>
      <c r="N122" s="37">
        <f t="shared" si="36"/>
        <v>3599</v>
      </c>
      <c r="O122" s="38">
        <v>144</v>
      </c>
      <c r="P122" s="39">
        <f t="shared" si="37"/>
        <v>3455</v>
      </c>
      <c r="Q122" s="23">
        <v>3455</v>
      </c>
      <c r="R122" s="46">
        <f t="shared" si="38"/>
        <v>0</v>
      </c>
      <c r="S122" s="42" t="s">
        <v>116</v>
      </c>
      <c r="T122" s="42" t="s">
        <v>116</v>
      </c>
      <c r="U122" s="19">
        <v>314536553</v>
      </c>
      <c r="V122" s="48">
        <v>6105164</v>
      </c>
    </row>
    <row r="123" spans="1:22" x14ac:dyDescent="0.3">
      <c r="A123" s="19" t="s">
        <v>19</v>
      </c>
      <c r="B123" s="19" t="s">
        <v>376</v>
      </c>
      <c r="C123" s="19" t="s">
        <v>357</v>
      </c>
      <c r="D123" s="20">
        <v>46243</v>
      </c>
      <c r="E123" s="20">
        <v>46229</v>
      </c>
      <c r="F123" s="21" t="s">
        <v>53</v>
      </c>
      <c r="G123" s="19" t="s">
        <v>73</v>
      </c>
      <c r="J123" s="19" t="s">
        <v>4</v>
      </c>
      <c r="K123" s="19" t="s">
        <v>368</v>
      </c>
      <c r="L123" s="25">
        <v>1600</v>
      </c>
      <c r="M123" s="22">
        <f t="shared" si="35"/>
        <v>288</v>
      </c>
      <c r="N123" s="37">
        <f t="shared" si="36"/>
        <v>1888</v>
      </c>
      <c r="O123" s="38">
        <v>76</v>
      </c>
      <c r="P123" s="39">
        <f t="shared" ref="P123:P124" si="43">N123-O123</f>
        <v>1812</v>
      </c>
      <c r="Q123" s="23">
        <f>500+1312</f>
        <v>1812</v>
      </c>
      <c r="R123" s="46">
        <f t="shared" ref="R123:R124" si="44">P123-Q123</f>
        <v>0</v>
      </c>
      <c r="S123" s="42" t="s">
        <v>116</v>
      </c>
      <c r="T123" s="42" t="s">
        <v>116</v>
      </c>
      <c r="U123" s="19">
        <v>314537817</v>
      </c>
      <c r="V123" s="48">
        <v>6135459</v>
      </c>
    </row>
    <row r="124" spans="1:22" x14ac:dyDescent="0.3">
      <c r="A124" s="19" t="s">
        <v>19</v>
      </c>
      <c r="B124" s="19" t="s">
        <v>380</v>
      </c>
      <c r="C124" s="19" t="s">
        <v>358</v>
      </c>
      <c r="D124" s="20">
        <v>46249</v>
      </c>
      <c r="E124" s="20">
        <v>46249</v>
      </c>
      <c r="F124" s="21" t="s">
        <v>48</v>
      </c>
      <c r="G124" s="19" t="s">
        <v>73</v>
      </c>
      <c r="J124" s="19" t="s">
        <v>4</v>
      </c>
      <c r="K124" s="19" t="s">
        <v>80</v>
      </c>
      <c r="L124" s="25">
        <v>5500</v>
      </c>
      <c r="M124" s="22">
        <f t="shared" si="35"/>
        <v>990</v>
      </c>
      <c r="N124" s="37">
        <f t="shared" si="36"/>
        <v>6490</v>
      </c>
      <c r="O124" s="38">
        <v>260</v>
      </c>
      <c r="P124" s="39">
        <f t="shared" si="43"/>
        <v>6230</v>
      </c>
      <c r="Q124" s="23">
        <f>3000</f>
        <v>3000</v>
      </c>
      <c r="R124" s="46">
        <f t="shared" si="44"/>
        <v>3230</v>
      </c>
      <c r="S124" s="42" t="s">
        <v>116</v>
      </c>
      <c r="T124" s="42" t="s">
        <v>116</v>
      </c>
      <c r="U124" s="19">
        <v>314537892</v>
      </c>
      <c r="V124" s="19">
        <v>6134229</v>
      </c>
    </row>
    <row r="125" spans="1:22" x14ac:dyDescent="0.3">
      <c r="A125" s="19" t="s">
        <v>364</v>
      </c>
      <c r="B125" s="19" t="s">
        <v>363</v>
      </c>
      <c r="C125" s="19" t="s">
        <v>359</v>
      </c>
      <c r="D125" s="20">
        <v>46244</v>
      </c>
      <c r="E125" s="20">
        <v>46227</v>
      </c>
      <c r="F125" s="21" t="s">
        <v>365</v>
      </c>
      <c r="G125" s="19" t="s">
        <v>267</v>
      </c>
      <c r="J125" s="19" t="s">
        <v>4</v>
      </c>
      <c r="K125" s="19" t="s">
        <v>4</v>
      </c>
      <c r="L125" s="25">
        <v>600</v>
      </c>
      <c r="M125" s="22">
        <f t="shared" si="35"/>
        <v>108</v>
      </c>
      <c r="N125" s="37">
        <f t="shared" si="36"/>
        <v>708</v>
      </c>
      <c r="O125" s="38">
        <v>28</v>
      </c>
      <c r="P125" s="39">
        <f t="shared" si="37"/>
        <v>680</v>
      </c>
      <c r="Q125" s="23">
        <v>680</v>
      </c>
      <c r="R125" s="46">
        <f t="shared" si="38"/>
        <v>0</v>
      </c>
      <c r="S125" s="42" t="s">
        <v>116</v>
      </c>
      <c r="T125" s="42" t="s">
        <v>116</v>
      </c>
      <c r="U125" s="54">
        <v>316073462</v>
      </c>
      <c r="V125" s="19">
        <v>6102951</v>
      </c>
    </row>
    <row r="126" spans="1:22" x14ac:dyDescent="0.3">
      <c r="A126" s="19" t="s">
        <v>364</v>
      </c>
      <c r="B126" s="19" t="s">
        <v>363</v>
      </c>
      <c r="C126" s="19" t="s">
        <v>360</v>
      </c>
      <c r="D126" s="20">
        <v>46244</v>
      </c>
      <c r="E126" s="20">
        <v>46228</v>
      </c>
      <c r="F126" s="21" t="s">
        <v>366</v>
      </c>
      <c r="G126" s="19" t="s">
        <v>267</v>
      </c>
      <c r="J126" s="19" t="s">
        <v>4</v>
      </c>
      <c r="K126" s="19" t="s">
        <v>4</v>
      </c>
      <c r="L126" s="25">
        <v>600</v>
      </c>
      <c r="M126" s="22">
        <f t="shared" si="35"/>
        <v>108</v>
      </c>
      <c r="N126" s="37">
        <f t="shared" si="36"/>
        <v>708</v>
      </c>
      <c r="O126" s="38">
        <v>28</v>
      </c>
      <c r="P126" s="39">
        <f t="shared" si="37"/>
        <v>680</v>
      </c>
      <c r="Q126" s="23">
        <v>680</v>
      </c>
      <c r="R126" s="46">
        <f t="shared" si="38"/>
        <v>0</v>
      </c>
      <c r="S126" s="42" t="s">
        <v>116</v>
      </c>
      <c r="T126" s="42" t="s">
        <v>116</v>
      </c>
      <c r="U126" s="54">
        <v>316073032</v>
      </c>
      <c r="V126" s="48">
        <v>6106192</v>
      </c>
    </row>
    <row r="127" spans="1:22" x14ac:dyDescent="0.3">
      <c r="A127" s="19" t="s">
        <v>364</v>
      </c>
      <c r="B127" s="19" t="s">
        <v>362</v>
      </c>
      <c r="C127" s="19" t="s">
        <v>361</v>
      </c>
      <c r="D127" s="20">
        <v>46242</v>
      </c>
      <c r="E127" s="20">
        <v>46217</v>
      </c>
      <c r="F127" s="21" t="s">
        <v>367</v>
      </c>
      <c r="G127" s="19" t="s">
        <v>267</v>
      </c>
      <c r="J127" s="19" t="s">
        <v>4</v>
      </c>
      <c r="K127" s="19" t="s">
        <v>4</v>
      </c>
      <c r="L127" s="25">
        <v>600</v>
      </c>
      <c r="M127" s="22">
        <f t="shared" si="35"/>
        <v>108</v>
      </c>
      <c r="N127" s="37">
        <f t="shared" si="36"/>
        <v>708</v>
      </c>
      <c r="O127" s="38">
        <v>28</v>
      </c>
      <c r="P127" s="39">
        <f t="shared" si="37"/>
        <v>680</v>
      </c>
      <c r="Q127" s="23">
        <v>680</v>
      </c>
      <c r="R127" s="46">
        <f t="shared" si="38"/>
        <v>0</v>
      </c>
      <c r="S127" s="42" t="s">
        <v>116</v>
      </c>
      <c r="T127" s="42" t="s">
        <v>116</v>
      </c>
      <c r="U127" s="19">
        <v>314457951</v>
      </c>
      <c r="V127" s="19">
        <v>6118026</v>
      </c>
    </row>
    <row r="128" spans="1:22" x14ac:dyDescent="0.3">
      <c r="A128" s="19" t="s">
        <v>348</v>
      </c>
      <c r="B128" s="19" t="s">
        <v>262</v>
      </c>
      <c r="C128" s="19" t="s">
        <v>369</v>
      </c>
      <c r="D128" s="20">
        <v>46255</v>
      </c>
      <c r="E128" s="20">
        <v>46253</v>
      </c>
      <c r="F128" s="21" t="s">
        <v>266</v>
      </c>
      <c r="G128" s="19" t="s">
        <v>267</v>
      </c>
      <c r="J128" s="19" t="s">
        <v>4</v>
      </c>
      <c r="K128" s="19" t="s">
        <v>323</v>
      </c>
      <c r="L128" s="25">
        <v>500</v>
      </c>
      <c r="M128" s="22">
        <f t="shared" si="35"/>
        <v>90</v>
      </c>
      <c r="N128" s="37">
        <f t="shared" si="36"/>
        <v>590</v>
      </c>
      <c r="O128" s="38">
        <v>24</v>
      </c>
      <c r="P128" s="39">
        <f t="shared" si="37"/>
        <v>566</v>
      </c>
      <c r="Q128" s="23">
        <v>566</v>
      </c>
      <c r="R128" s="46">
        <f t="shared" si="38"/>
        <v>0</v>
      </c>
      <c r="S128" s="42" t="s">
        <v>116</v>
      </c>
      <c r="T128" s="42" t="s">
        <v>116</v>
      </c>
      <c r="U128" s="19">
        <v>314459441</v>
      </c>
      <c r="V128" s="19">
        <v>6035243</v>
      </c>
    </row>
    <row r="129" spans="1:22" x14ac:dyDescent="0.3">
      <c r="A129" s="19" t="s">
        <v>19</v>
      </c>
      <c r="B129" s="19" t="s">
        <v>379</v>
      </c>
      <c r="C129" s="19" t="s">
        <v>370</v>
      </c>
      <c r="D129" s="20">
        <v>46258</v>
      </c>
      <c r="E129" s="20">
        <v>46254</v>
      </c>
      <c r="F129" s="21" t="s">
        <v>371</v>
      </c>
      <c r="G129" s="19" t="s">
        <v>73</v>
      </c>
      <c r="H129" s="19" t="s">
        <v>227</v>
      </c>
      <c r="I129" s="19" t="s">
        <v>413</v>
      </c>
      <c r="J129" s="19" t="s">
        <v>4</v>
      </c>
      <c r="K129" s="19" t="s">
        <v>2</v>
      </c>
      <c r="L129" s="25">
        <v>5400</v>
      </c>
      <c r="M129" s="22">
        <f>L129*0.18</f>
        <v>972</v>
      </c>
      <c r="N129" s="37">
        <f>L129+M129</f>
        <v>6372</v>
      </c>
      <c r="O129" s="38">
        <v>255</v>
      </c>
      <c r="P129" s="39">
        <f>N129-O129</f>
        <v>6117</v>
      </c>
      <c r="Q129" s="23">
        <f>3000+3117</f>
        <v>6117</v>
      </c>
      <c r="R129" s="39">
        <f>P129-Q129</f>
        <v>0</v>
      </c>
      <c r="S129" s="42" t="s">
        <v>116</v>
      </c>
      <c r="T129" s="42" t="s">
        <v>116</v>
      </c>
      <c r="U129" s="19">
        <v>314461002</v>
      </c>
      <c r="V129" s="19">
        <v>6094226</v>
      </c>
    </row>
    <row r="130" spans="1:22" x14ac:dyDescent="0.3">
      <c r="A130" s="19" t="s">
        <v>82</v>
      </c>
      <c r="B130" s="19" t="s">
        <v>372</v>
      </c>
      <c r="C130" s="19" t="s">
        <v>373</v>
      </c>
      <c r="D130" s="20">
        <v>46255</v>
      </c>
      <c r="E130" s="20"/>
      <c r="L130" s="25"/>
      <c r="M130" s="22">
        <f t="shared" si="35"/>
        <v>0</v>
      </c>
      <c r="N130" s="37">
        <f t="shared" si="36"/>
        <v>0</v>
      </c>
      <c r="O130" s="38">
        <f t="shared" ref="O130:O168" si="45">N130*4%</f>
        <v>0</v>
      </c>
      <c r="P130" s="39">
        <f t="shared" si="37"/>
        <v>0</v>
      </c>
      <c r="Q130" s="23"/>
      <c r="R130" s="46">
        <f t="shared" si="38"/>
        <v>0</v>
      </c>
      <c r="S130" s="41" t="s">
        <v>132</v>
      </c>
      <c r="T130" s="41" t="s">
        <v>132</v>
      </c>
    </row>
    <row r="131" spans="1:22" x14ac:dyDescent="0.3">
      <c r="A131" s="19" t="s">
        <v>333</v>
      </c>
      <c r="B131" s="19" t="s">
        <v>334</v>
      </c>
      <c r="C131" s="19" t="s">
        <v>374</v>
      </c>
      <c r="D131" s="20">
        <v>46253</v>
      </c>
      <c r="E131" s="20"/>
      <c r="J131" s="19" t="s">
        <v>5</v>
      </c>
      <c r="K131" s="19" t="s">
        <v>4</v>
      </c>
      <c r="L131" s="25">
        <v>500</v>
      </c>
      <c r="M131" s="22">
        <f t="shared" ref="M131:M133" si="46">L131*0.18</f>
        <v>90</v>
      </c>
      <c r="N131" s="37">
        <f t="shared" ref="N131:N134" si="47">L131+M131</f>
        <v>590</v>
      </c>
      <c r="O131" s="38">
        <v>24</v>
      </c>
      <c r="P131" s="39">
        <f t="shared" ref="P131" si="48">N131-O131</f>
        <v>566</v>
      </c>
      <c r="Q131" s="23">
        <v>566</v>
      </c>
      <c r="R131" s="46" t="s">
        <v>375</v>
      </c>
      <c r="S131" s="42" t="s">
        <v>116</v>
      </c>
      <c r="T131" s="42" t="s">
        <v>116</v>
      </c>
      <c r="U131" s="19">
        <v>314463272</v>
      </c>
      <c r="V131" s="19">
        <v>6057333</v>
      </c>
    </row>
    <row r="132" spans="1:22" ht="14.4" x14ac:dyDescent="0.3">
      <c r="A132" s="19" t="s">
        <v>19</v>
      </c>
      <c r="B132" s="19" t="s">
        <v>376</v>
      </c>
      <c r="C132" s="19" t="s">
        <v>377</v>
      </c>
      <c r="D132" s="20">
        <v>46258</v>
      </c>
      <c r="E132" s="20">
        <v>46253</v>
      </c>
      <c r="F132" s="21" t="s">
        <v>53</v>
      </c>
      <c r="G132" s="19" t="s">
        <v>73</v>
      </c>
      <c r="J132" s="19" t="s">
        <v>4</v>
      </c>
      <c r="K132" s="19" t="s">
        <v>378</v>
      </c>
      <c r="L132" s="25">
        <v>2600</v>
      </c>
      <c r="M132" s="22">
        <f>L132*0.18</f>
        <v>468</v>
      </c>
      <c r="N132" s="37">
        <f>L132+M132</f>
        <v>3068</v>
      </c>
      <c r="O132" s="38">
        <v>123</v>
      </c>
      <c r="P132" s="39">
        <f>N132-O132</f>
        <v>2945</v>
      </c>
      <c r="Q132" s="23">
        <v>1000</v>
      </c>
      <c r="R132" s="46">
        <f>P132-Q132</f>
        <v>1945</v>
      </c>
      <c r="S132" s="42" t="s">
        <v>116</v>
      </c>
      <c r="T132" s="50" t="s">
        <v>117</v>
      </c>
      <c r="U132" s="55">
        <v>314466587</v>
      </c>
      <c r="V132" s="19">
        <v>6125563</v>
      </c>
    </row>
    <row r="133" spans="1:22" x14ac:dyDescent="0.3">
      <c r="A133" s="19" t="s">
        <v>134</v>
      </c>
      <c r="B133" s="19" t="s">
        <v>381</v>
      </c>
      <c r="C133" s="19" t="s">
        <v>382</v>
      </c>
      <c r="D133" s="20">
        <v>46239</v>
      </c>
      <c r="E133" s="20">
        <v>46189</v>
      </c>
      <c r="F133" s="21" t="s">
        <v>135</v>
      </c>
      <c r="G133" s="19" t="s">
        <v>267</v>
      </c>
      <c r="H133" s="19" t="s">
        <v>392</v>
      </c>
      <c r="I133" s="19" t="s">
        <v>195</v>
      </c>
      <c r="J133" s="19" t="s">
        <v>4</v>
      </c>
      <c r="K133" s="19" t="s">
        <v>389</v>
      </c>
      <c r="L133" s="25">
        <v>1200</v>
      </c>
      <c r="M133" s="22">
        <f t="shared" si="46"/>
        <v>216</v>
      </c>
      <c r="N133" s="37">
        <f t="shared" si="47"/>
        <v>1416</v>
      </c>
      <c r="O133" s="38">
        <v>57</v>
      </c>
      <c r="P133" s="39">
        <f t="shared" si="37"/>
        <v>1359</v>
      </c>
      <c r="Q133" s="23">
        <v>1359</v>
      </c>
      <c r="R133" s="56">
        <f t="shared" si="38"/>
        <v>0</v>
      </c>
      <c r="S133" s="42" t="s">
        <v>116</v>
      </c>
      <c r="T133" s="42" t="s">
        <v>116</v>
      </c>
      <c r="U133" s="19">
        <v>314967615</v>
      </c>
      <c r="V133" s="48">
        <v>6209758</v>
      </c>
    </row>
    <row r="134" spans="1:22" x14ac:dyDescent="0.3">
      <c r="A134" s="19" t="s">
        <v>134</v>
      </c>
      <c r="B134" s="19" t="s">
        <v>381</v>
      </c>
      <c r="C134" s="19" t="s">
        <v>383</v>
      </c>
      <c r="D134" s="20">
        <v>46239</v>
      </c>
      <c r="E134" s="20">
        <v>46211</v>
      </c>
      <c r="F134" s="21" t="s">
        <v>390</v>
      </c>
      <c r="G134" s="19" t="s">
        <v>267</v>
      </c>
      <c r="H134" s="19" t="s">
        <v>393</v>
      </c>
      <c r="I134" s="19" t="s">
        <v>195</v>
      </c>
      <c r="J134" s="19" t="s">
        <v>4</v>
      </c>
      <c r="K134" s="19" t="s">
        <v>389</v>
      </c>
      <c r="L134" s="25">
        <v>1200</v>
      </c>
      <c r="M134" s="22">
        <f t="shared" si="35"/>
        <v>216</v>
      </c>
      <c r="N134" s="37">
        <f t="shared" si="47"/>
        <v>1416</v>
      </c>
      <c r="O134" s="38">
        <v>57</v>
      </c>
      <c r="P134" s="39">
        <f t="shared" si="37"/>
        <v>1359</v>
      </c>
      <c r="Q134" s="23"/>
      <c r="R134" s="57">
        <f t="shared" si="38"/>
        <v>1359</v>
      </c>
      <c r="S134" s="42" t="s">
        <v>116</v>
      </c>
      <c r="T134" s="42" t="s">
        <v>116</v>
      </c>
      <c r="U134" s="19">
        <v>314968735</v>
      </c>
      <c r="V134" s="48">
        <v>6137471</v>
      </c>
    </row>
    <row r="135" spans="1:22" x14ac:dyDescent="0.3">
      <c r="A135" s="19" t="s">
        <v>134</v>
      </c>
      <c r="B135" s="19" t="s">
        <v>381</v>
      </c>
      <c r="C135" s="19" t="s">
        <v>384</v>
      </c>
      <c r="D135" s="20">
        <v>46239</v>
      </c>
      <c r="E135" s="20">
        <v>46213</v>
      </c>
      <c r="F135" s="21" t="s">
        <v>391</v>
      </c>
      <c r="G135" s="19" t="s">
        <v>267</v>
      </c>
      <c r="H135" s="19" t="s">
        <v>392</v>
      </c>
      <c r="I135" s="19" t="s">
        <v>195</v>
      </c>
      <c r="J135" s="19" t="s">
        <v>4</v>
      </c>
      <c r="K135" s="19" t="s">
        <v>389</v>
      </c>
      <c r="L135" s="25">
        <v>1200</v>
      </c>
      <c r="M135" s="22">
        <f t="shared" si="35"/>
        <v>216</v>
      </c>
      <c r="N135" s="37">
        <f t="shared" si="36"/>
        <v>1416</v>
      </c>
      <c r="O135" s="38">
        <v>57</v>
      </c>
      <c r="P135" s="39">
        <f t="shared" si="37"/>
        <v>1359</v>
      </c>
      <c r="Q135" s="23"/>
      <c r="R135" s="57">
        <f t="shared" si="38"/>
        <v>1359</v>
      </c>
      <c r="S135" s="42" t="s">
        <v>116</v>
      </c>
      <c r="T135" s="42" t="s">
        <v>116</v>
      </c>
      <c r="U135" s="19">
        <v>314537322</v>
      </c>
      <c r="V135" s="48">
        <v>6131568</v>
      </c>
    </row>
    <row r="136" spans="1:22" x14ac:dyDescent="0.3">
      <c r="A136" s="19" t="s">
        <v>134</v>
      </c>
      <c r="B136" s="19" t="s">
        <v>381</v>
      </c>
      <c r="C136" s="19" t="s">
        <v>385</v>
      </c>
      <c r="D136" s="20">
        <v>46239</v>
      </c>
      <c r="E136" s="20">
        <v>46220</v>
      </c>
      <c r="F136" s="21" t="s">
        <v>135</v>
      </c>
      <c r="G136" s="19" t="s">
        <v>267</v>
      </c>
      <c r="H136" s="19" t="s">
        <v>394</v>
      </c>
      <c r="I136" s="19" t="s">
        <v>195</v>
      </c>
      <c r="J136" s="19" t="s">
        <v>4</v>
      </c>
      <c r="K136" s="19" t="s">
        <v>389</v>
      </c>
      <c r="L136" s="25">
        <v>1200</v>
      </c>
      <c r="M136" s="22">
        <f t="shared" si="35"/>
        <v>216</v>
      </c>
      <c r="N136" s="37">
        <f t="shared" si="36"/>
        <v>1416</v>
      </c>
      <c r="O136" s="38">
        <v>57</v>
      </c>
      <c r="P136" s="39">
        <f t="shared" si="37"/>
        <v>1359</v>
      </c>
      <c r="Q136" s="23"/>
      <c r="R136" s="57">
        <f t="shared" si="38"/>
        <v>1359</v>
      </c>
      <c r="S136" s="42" t="s">
        <v>116</v>
      </c>
      <c r="T136" s="42" t="s">
        <v>116</v>
      </c>
      <c r="U136" s="19">
        <v>314537359</v>
      </c>
      <c r="V136" s="48">
        <v>6134526</v>
      </c>
    </row>
    <row r="137" spans="1:22" x14ac:dyDescent="0.3">
      <c r="A137" s="19" t="s">
        <v>134</v>
      </c>
      <c r="B137" s="19" t="s">
        <v>381</v>
      </c>
      <c r="C137" s="19" t="s">
        <v>386</v>
      </c>
      <c r="D137" s="20">
        <v>46239</v>
      </c>
      <c r="E137" s="20">
        <v>46222</v>
      </c>
      <c r="F137" s="21" t="s">
        <v>135</v>
      </c>
      <c r="G137" s="19" t="s">
        <v>267</v>
      </c>
      <c r="H137" s="19" t="s">
        <v>388</v>
      </c>
      <c r="I137" s="19" t="s">
        <v>195</v>
      </c>
      <c r="J137" s="19" t="s">
        <v>4</v>
      </c>
      <c r="K137" s="19" t="s">
        <v>389</v>
      </c>
      <c r="L137" s="25">
        <v>1200</v>
      </c>
      <c r="M137" s="22">
        <f t="shared" si="35"/>
        <v>216</v>
      </c>
      <c r="N137" s="37">
        <f t="shared" si="36"/>
        <v>1416</v>
      </c>
      <c r="O137" s="38">
        <v>57</v>
      </c>
      <c r="P137" s="39">
        <f t="shared" si="37"/>
        <v>1359</v>
      </c>
      <c r="Q137" s="23"/>
      <c r="R137" s="57">
        <f t="shared" si="38"/>
        <v>1359</v>
      </c>
      <c r="S137" s="42" t="s">
        <v>116</v>
      </c>
      <c r="T137" s="42" t="s">
        <v>116</v>
      </c>
      <c r="U137" s="19">
        <v>314537648</v>
      </c>
      <c r="V137" s="48">
        <v>6135527</v>
      </c>
    </row>
    <row r="138" spans="1:22" x14ac:dyDescent="0.3">
      <c r="A138" s="19" t="s">
        <v>134</v>
      </c>
      <c r="B138" s="19" t="s">
        <v>381</v>
      </c>
      <c r="C138" s="19" t="s">
        <v>387</v>
      </c>
      <c r="D138" s="20">
        <v>46260</v>
      </c>
      <c r="E138" s="20">
        <v>46193</v>
      </c>
      <c r="F138" s="21" t="s">
        <v>135</v>
      </c>
      <c r="G138" s="19" t="s">
        <v>73</v>
      </c>
      <c r="J138" s="19" t="s">
        <v>4</v>
      </c>
      <c r="K138" s="19" t="s">
        <v>217</v>
      </c>
      <c r="L138" s="25">
        <v>4000</v>
      </c>
      <c r="M138" s="22">
        <f t="shared" si="35"/>
        <v>720</v>
      </c>
      <c r="N138" s="37">
        <f t="shared" si="36"/>
        <v>4720</v>
      </c>
      <c r="O138" s="38">
        <v>189</v>
      </c>
      <c r="P138" s="39">
        <f t="shared" si="37"/>
        <v>4531</v>
      </c>
      <c r="Q138" s="23">
        <v>4531</v>
      </c>
      <c r="R138" s="56">
        <f t="shared" si="38"/>
        <v>0</v>
      </c>
      <c r="S138" s="42" t="s">
        <v>116</v>
      </c>
      <c r="T138" s="42" t="s">
        <v>116</v>
      </c>
      <c r="U138" s="19">
        <v>314537716</v>
      </c>
      <c r="V138" s="48">
        <v>6195986</v>
      </c>
    </row>
    <row r="139" spans="1:22" x14ac:dyDescent="0.3">
      <c r="A139" s="19" t="s">
        <v>82</v>
      </c>
      <c r="B139" s="19" t="s">
        <v>395</v>
      </c>
      <c r="C139" s="19" t="s">
        <v>212</v>
      </c>
      <c r="D139" s="20">
        <v>46259</v>
      </c>
      <c r="E139" s="20">
        <v>46255</v>
      </c>
      <c r="F139" s="21" t="s">
        <v>396</v>
      </c>
      <c r="G139" s="19" t="s">
        <v>148</v>
      </c>
      <c r="J139" s="19" t="s">
        <v>5</v>
      </c>
      <c r="K139" s="19" t="s">
        <v>397</v>
      </c>
      <c r="L139" s="25">
        <v>500</v>
      </c>
      <c r="M139" s="22">
        <f t="shared" si="35"/>
        <v>90</v>
      </c>
      <c r="N139" s="37">
        <f t="shared" si="36"/>
        <v>590</v>
      </c>
      <c r="O139" s="38">
        <v>24</v>
      </c>
      <c r="P139" s="39">
        <f t="shared" si="37"/>
        <v>566</v>
      </c>
      <c r="Q139" s="23"/>
      <c r="R139" s="46">
        <f t="shared" si="38"/>
        <v>566</v>
      </c>
      <c r="S139" s="50" t="s">
        <v>117</v>
      </c>
      <c r="T139" s="42" t="s">
        <v>116</v>
      </c>
      <c r="U139" s="19">
        <v>314470713</v>
      </c>
    </row>
    <row r="140" spans="1:22" x14ac:dyDescent="0.3">
      <c r="A140" s="19" t="s">
        <v>19</v>
      </c>
      <c r="B140" s="19" t="s">
        <v>380</v>
      </c>
      <c r="C140" s="19" t="s">
        <v>410</v>
      </c>
      <c r="D140" s="20">
        <v>46259</v>
      </c>
      <c r="E140" s="20">
        <v>46256</v>
      </c>
      <c r="F140" s="21" t="s">
        <v>48</v>
      </c>
      <c r="G140" s="19" t="s">
        <v>73</v>
      </c>
      <c r="J140" s="19" t="s">
        <v>149</v>
      </c>
      <c r="K140" s="19" t="s">
        <v>411</v>
      </c>
      <c r="L140" s="25">
        <v>2000</v>
      </c>
      <c r="M140" s="22">
        <f>L140*0.18</f>
        <v>360</v>
      </c>
      <c r="N140" s="37">
        <f>L140+M140</f>
        <v>2360</v>
      </c>
      <c r="O140" s="38">
        <v>95</v>
      </c>
      <c r="P140" s="39">
        <f>N140-O140</f>
        <v>2265</v>
      </c>
      <c r="Q140" s="23">
        <v>2265</v>
      </c>
      <c r="R140" s="46">
        <f>P140-Q140</f>
        <v>0</v>
      </c>
      <c r="S140" s="42" t="s">
        <v>116</v>
      </c>
      <c r="T140" s="42" t="s">
        <v>116</v>
      </c>
      <c r="U140" s="43">
        <v>314043456</v>
      </c>
      <c r="V140" s="19">
        <v>6042430</v>
      </c>
    </row>
    <row r="141" spans="1:22" x14ac:dyDescent="0.3">
      <c r="A141" s="19" t="s">
        <v>415</v>
      </c>
      <c r="B141" s="19" t="s">
        <v>283</v>
      </c>
      <c r="C141" s="19" t="s">
        <v>408</v>
      </c>
      <c r="D141" s="20">
        <v>46259</v>
      </c>
      <c r="E141" s="20">
        <v>46258</v>
      </c>
      <c r="F141" s="21" t="s">
        <v>409</v>
      </c>
      <c r="G141" s="19" t="s">
        <v>267</v>
      </c>
      <c r="J141" s="19" t="s">
        <v>4</v>
      </c>
      <c r="K141" s="19" t="s">
        <v>4</v>
      </c>
      <c r="L141" s="25">
        <v>600</v>
      </c>
      <c r="M141" s="22">
        <f>L141*0.18</f>
        <v>108</v>
      </c>
      <c r="N141" s="37">
        <f>L141+M141</f>
        <v>708</v>
      </c>
      <c r="O141" s="38">
        <v>28</v>
      </c>
      <c r="P141" s="39">
        <f>N141-O141</f>
        <v>680</v>
      </c>
      <c r="Q141" s="23">
        <v>680</v>
      </c>
      <c r="R141" s="46">
        <f>P141-Q141</f>
        <v>0</v>
      </c>
      <c r="S141" s="42" t="s">
        <v>116</v>
      </c>
      <c r="T141" s="42" t="s">
        <v>116</v>
      </c>
      <c r="U141" s="19">
        <v>314536703</v>
      </c>
      <c r="V141" s="58">
        <v>6110708</v>
      </c>
    </row>
    <row r="142" spans="1:22" x14ac:dyDescent="0.3">
      <c r="A142" s="19" t="s">
        <v>19</v>
      </c>
      <c r="B142" s="19" t="s">
        <v>16</v>
      </c>
      <c r="C142" s="19" t="s">
        <v>406</v>
      </c>
      <c r="D142" s="20">
        <v>46260</v>
      </c>
      <c r="E142" s="20">
        <v>46259</v>
      </c>
      <c r="F142" s="21" t="s">
        <v>52</v>
      </c>
      <c r="G142" s="19" t="s">
        <v>59</v>
      </c>
      <c r="H142" s="19" t="s">
        <v>227</v>
      </c>
      <c r="I142" s="19" t="s">
        <v>407</v>
      </c>
      <c r="J142" s="19" t="s">
        <v>149</v>
      </c>
      <c r="K142" s="19" t="s">
        <v>2</v>
      </c>
      <c r="L142" s="25">
        <v>5400</v>
      </c>
      <c r="M142" s="22">
        <f t="shared" si="35"/>
        <v>972</v>
      </c>
      <c r="N142" s="37">
        <f t="shared" si="36"/>
        <v>6372</v>
      </c>
      <c r="O142" s="38">
        <v>255</v>
      </c>
      <c r="P142" s="39">
        <f t="shared" si="37"/>
        <v>6117</v>
      </c>
      <c r="Q142" s="23">
        <v>3000</v>
      </c>
      <c r="R142" s="46">
        <f t="shared" si="38"/>
        <v>3117</v>
      </c>
      <c r="S142" s="42" t="s">
        <v>116</v>
      </c>
      <c r="T142" s="42" t="s">
        <v>116</v>
      </c>
      <c r="U142" s="19">
        <v>314536623</v>
      </c>
      <c r="V142" s="19">
        <v>6041260</v>
      </c>
    </row>
    <row r="143" spans="1:22" x14ac:dyDescent="0.3">
      <c r="A143" s="19" t="s">
        <v>19</v>
      </c>
      <c r="B143" s="19" t="s">
        <v>379</v>
      </c>
      <c r="C143" s="19" t="s">
        <v>412</v>
      </c>
      <c r="D143" s="20">
        <v>46261</v>
      </c>
      <c r="E143" s="20">
        <v>46260</v>
      </c>
      <c r="F143" s="21" t="s">
        <v>371</v>
      </c>
      <c r="G143" s="19" t="s">
        <v>73</v>
      </c>
      <c r="H143" s="19" t="s">
        <v>89</v>
      </c>
      <c r="I143" s="19" t="s">
        <v>413</v>
      </c>
      <c r="J143" s="19" t="s">
        <v>149</v>
      </c>
      <c r="K143" s="19" t="s">
        <v>414</v>
      </c>
      <c r="L143" s="25">
        <v>3000</v>
      </c>
      <c r="M143" s="22">
        <f t="shared" ref="M143" si="49">L143*0.18</f>
        <v>540</v>
      </c>
      <c r="N143" s="37">
        <f t="shared" ref="N143" si="50">L143+M143</f>
        <v>3540</v>
      </c>
      <c r="O143" s="38">
        <v>142</v>
      </c>
      <c r="P143" s="39">
        <f t="shared" ref="P143" si="51">N143-O143</f>
        <v>3398</v>
      </c>
      <c r="Q143" s="23">
        <v>3398</v>
      </c>
      <c r="R143" s="46">
        <f t="shared" ref="R143" si="52">P143-Q143</f>
        <v>0</v>
      </c>
      <c r="S143" s="42" t="s">
        <v>116</v>
      </c>
      <c r="T143" s="42" t="s">
        <v>116</v>
      </c>
      <c r="U143" s="19">
        <v>314537106</v>
      </c>
      <c r="V143" s="19">
        <v>6097204</v>
      </c>
    </row>
    <row r="144" spans="1:22" x14ac:dyDescent="0.3">
      <c r="A144" s="19" t="s">
        <v>82</v>
      </c>
      <c r="B144" s="19" t="s">
        <v>343</v>
      </c>
      <c r="C144" s="19" t="s">
        <v>403</v>
      </c>
      <c r="D144" s="20">
        <v>46261</v>
      </c>
      <c r="E144" s="20">
        <v>46260</v>
      </c>
      <c r="F144" s="21" t="s">
        <v>404</v>
      </c>
      <c r="G144" s="19" t="s">
        <v>73</v>
      </c>
      <c r="I144" s="19" t="s">
        <v>405</v>
      </c>
      <c r="J144" s="19" t="s">
        <v>149</v>
      </c>
      <c r="K144" s="19" t="s">
        <v>2</v>
      </c>
      <c r="L144" s="25">
        <v>5593.22</v>
      </c>
      <c r="M144" s="22">
        <f>L144*0.18</f>
        <v>1006.7796</v>
      </c>
      <c r="N144" s="37">
        <f>L144+M144</f>
        <v>6599.9996000000001</v>
      </c>
      <c r="O144" s="38">
        <f>N144*4%</f>
        <v>263.99998399999998</v>
      </c>
      <c r="P144" s="39">
        <f>N144-O144</f>
        <v>6335.9996160000001</v>
      </c>
      <c r="Q144" s="23">
        <v>6336</v>
      </c>
      <c r="R144" s="46">
        <f>P144-Q144</f>
        <v>-3.839999999399879E-4</v>
      </c>
      <c r="S144" s="42" t="s">
        <v>116</v>
      </c>
      <c r="T144" s="42" t="s">
        <v>116</v>
      </c>
      <c r="U144" s="19">
        <v>314536660</v>
      </c>
      <c r="V144" s="19">
        <v>6218464</v>
      </c>
    </row>
    <row r="145" spans="1:22" x14ac:dyDescent="0.3">
      <c r="A145" s="19" t="s">
        <v>19</v>
      </c>
      <c r="B145" s="19" t="s">
        <v>380</v>
      </c>
      <c r="C145" s="19" t="s">
        <v>400</v>
      </c>
      <c r="D145" s="20">
        <v>46262</v>
      </c>
      <c r="E145" s="20">
        <v>46260</v>
      </c>
      <c r="F145" s="21" t="s">
        <v>401</v>
      </c>
      <c r="G145" s="19" t="s">
        <v>148</v>
      </c>
      <c r="H145" s="19" t="s">
        <v>227</v>
      </c>
      <c r="I145" s="19" t="s">
        <v>402</v>
      </c>
      <c r="J145" s="19" t="s">
        <v>149</v>
      </c>
      <c r="K145" s="19" t="s">
        <v>11</v>
      </c>
      <c r="L145" s="25">
        <v>6100</v>
      </c>
      <c r="M145" s="22">
        <f>L145*0.18</f>
        <v>1098</v>
      </c>
      <c r="N145" s="37">
        <f>L145+M145</f>
        <v>7198</v>
      </c>
      <c r="O145" s="38">
        <v>288</v>
      </c>
      <c r="P145" s="39">
        <f>N145-O145</f>
        <v>6910</v>
      </c>
      <c r="Q145" s="23">
        <v>3000</v>
      </c>
      <c r="R145" s="46">
        <f>P145-Q145</f>
        <v>3910</v>
      </c>
      <c r="S145" s="50" t="s">
        <v>117</v>
      </c>
      <c r="T145" s="42" t="s">
        <v>116</v>
      </c>
      <c r="U145" s="19">
        <v>314537221</v>
      </c>
    </row>
    <row r="146" spans="1:22" x14ac:dyDescent="0.3">
      <c r="A146" s="19" t="s">
        <v>333</v>
      </c>
      <c r="B146" s="19" t="s">
        <v>334</v>
      </c>
      <c r="C146" s="19" t="s">
        <v>398</v>
      </c>
      <c r="D146" s="20">
        <v>46263</v>
      </c>
      <c r="E146" s="20"/>
      <c r="F146" s="21" t="s">
        <v>399</v>
      </c>
      <c r="J146" s="19" t="s">
        <v>5</v>
      </c>
      <c r="K146" s="19" t="s">
        <v>187</v>
      </c>
      <c r="L146" s="25">
        <v>2500</v>
      </c>
      <c r="M146" s="22">
        <f>L146*0.18</f>
        <v>450</v>
      </c>
      <c r="N146" s="37">
        <f>L146+M146</f>
        <v>2950</v>
      </c>
      <c r="O146" s="38">
        <v>0</v>
      </c>
      <c r="P146" s="39">
        <f>N146-O146</f>
        <v>2950</v>
      </c>
      <c r="Q146" s="23">
        <v>2950</v>
      </c>
      <c r="R146" s="46">
        <f>P146-Q146</f>
        <v>0</v>
      </c>
      <c r="S146" s="42" t="s">
        <v>116</v>
      </c>
      <c r="T146" s="42" t="s">
        <v>116</v>
      </c>
      <c r="U146" s="19">
        <v>1961517415</v>
      </c>
      <c r="V146" s="19">
        <v>6098211</v>
      </c>
    </row>
    <row r="147" spans="1:22" x14ac:dyDescent="0.3">
      <c r="A147" s="19" t="s">
        <v>82</v>
      </c>
      <c r="B147" s="19" t="s">
        <v>416</v>
      </c>
      <c r="C147" s="19" t="s">
        <v>406</v>
      </c>
      <c r="D147" s="20">
        <v>46265</v>
      </c>
      <c r="E147" s="20">
        <v>46264</v>
      </c>
      <c r="F147" s="21" t="s">
        <v>88</v>
      </c>
      <c r="J147" s="19" t="s">
        <v>149</v>
      </c>
      <c r="K147" s="19" t="s">
        <v>417</v>
      </c>
      <c r="L147" s="25"/>
      <c r="M147" s="22">
        <f t="shared" si="35"/>
        <v>0</v>
      </c>
      <c r="N147" s="37">
        <f t="shared" si="36"/>
        <v>0</v>
      </c>
      <c r="O147" s="38">
        <f t="shared" si="45"/>
        <v>0</v>
      </c>
      <c r="P147" s="39">
        <f t="shared" si="37"/>
        <v>0</v>
      </c>
      <c r="Q147" s="23"/>
      <c r="R147" s="46">
        <f t="shared" si="38"/>
        <v>0</v>
      </c>
      <c r="S147" s="41" t="s">
        <v>132</v>
      </c>
      <c r="T147" s="41" t="s">
        <v>132</v>
      </c>
      <c r="V147" s="19" t="s">
        <v>448</v>
      </c>
    </row>
    <row r="148" spans="1:22" x14ac:dyDescent="0.3">
      <c r="A148" s="19" t="s">
        <v>333</v>
      </c>
      <c r="B148" s="19" t="s">
        <v>334</v>
      </c>
      <c r="C148" s="19" t="s">
        <v>418</v>
      </c>
      <c r="D148" s="20">
        <v>46263</v>
      </c>
      <c r="E148" s="20"/>
      <c r="F148" s="21" t="s">
        <v>419</v>
      </c>
      <c r="G148" s="19" t="s">
        <v>59</v>
      </c>
      <c r="J148" s="19" t="s">
        <v>4</v>
      </c>
      <c r="K148" s="19" t="s">
        <v>12</v>
      </c>
      <c r="L148" s="25">
        <v>3100</v>
      </c>
      <c r="M148" s="22">
        <f t="shared" si="35"/>
        <v>558</v>
      </c>
      <c r="N148" s="37">
        <f t="shared" si="36"/>
        <v>3658</v>
      </c>
      <c r="O148" s="38">
        <v>0</v>
      </c>
      <c r="P148" s="39">
        <f t="shared" si="37"/>
        <v>3658</v>
      </c>
      <c r="Q148" s="23">
        <v>3658</v>
      </c>
      <c r="R148" s="46">
        <f t="shared" ref="R148:R149" si="53">P148-Q148</f>
        <v>0</v>
      </c>
      <c r="S148" s="42" t="s">
        <v>116</v>
      </c>
      <c r="T148" s="42" t="s">
        <v>116</v>
      </c>
      <c r="U148" s="19">
        <v>1961517423</v>
      </c>
      <c r="V148" s="19">
        <v>6107927</v>
      </c>
    </row>
    <row r="149" spans="1:22" x14ac:dyDescent="0.3">
      <c r="A149" s="19" t="s">
        <v>364</v>
      </c>
      <c r="B149" s="19" t="s">
        <v>363</v>
      </c>
      <c r="C149" s="19" t="s">
        <v>449</v>
      </c>
      <c r="D149" s="20">
        <v>46263</v>
      </c>
      <c r="E149" s="20">
        <v>46261</v>
      </c>
      <c r="L149" s="25">
        <v>1900</v>
      </c>
      <c r="M149" s="22">
        <f t="shared" si="35"/>
        <v>342</v>
      </c>
      <c r="N149" s="37">
        <f t="shared" si="36"/>
        <v>2242</v>
      </c>
      <c r="O149" s="38">
        <v>90</v>
      </c>
      <c r="P149" s="39">
        <f t="shared" si="37"/>
        <v>2152</v>
      </c>
      <c r="Q149" s="23">
        <v>2152</v>
      </c>
      <c r="R149" s="46">
        <f t="shared" si="53"/>
        <v>0</v>
      </c>
      <c r="S149" s="42" t="s">
        <v>116</v>
      </c>
      <c r="T149" s="50" t="s">
        <v>117</v>
      </c>
      <c r="U149" s="19">
        <v>316072183</v>
      </c>
      <c r="V149" s="19">
        <v>6091231</v>
      </c>
    </row>
    <row r="150" spans="1:22" x14ac:dyDescent="0.3">
      <c r="A150" s="19" t="s">
        <v>333</v>
      </c>
      <c r="B150" s="19" t="s">
        <v>334</v>
      </c>
      <c r="C150" s="19" t="s">
        <v>423</v>
      </c>
      <c r="D150" s="20">
        <v>46266</v>
      </c>
      <c r="E150" s="20">
        <v>46266</v>
      </c>
      <c r="F150" s="21" t="s">
        <v>399</v>
      </c>
      <c r="G150" s="19" t="s">
        <v>59</v>
      </c>
      <c r="J150" s="19" t="s">
        <v>4</v>
      </c>
      <c r="K150" s="19" t="s">
        <v>424</v>
      </c>
      <c r="L150" s="25">
        <v>800</v>
      </c>
      <c r="M150" s="22">
        <f t="shared" si="35"/>
        <v>144</v>
      </c>
      <c r="N150" s="37">
        <f t="shared" si="36"/>
        <v>944</v>
      </c>
      <c r="O150" s="38">
        <v>38</v>
      </c>
      <c r="P150" s="39">
        <f t="shared" si="37"/>
        <v>906</v>
      </c>
      <c r="Q150" s="23">
        <v>906</v>
      </c>
      <c r="R150" s="46">
        <f t="shared" si="38"/>
        <v>0</v>
      </c>
      <c r="S150" s="42" t="s">
        <v>116</v>
      </c>
      <c r="T150" s="50" t="s">
        <v>117</v>
      </c>
      <c r="V150" s="19">
        <v>6107860</v>
      </c>
    </row>
    <row r="151" spans="1:22" x14ac:dyDescent="0.3">
      <c r="A151" s="19" t="s">
        <v>426</v>
      </c>
      <c r="B151" s="19" t="s">
        <v>425</v>
      </c>
      <c r="C151" s="19" t="s">
        <v>427</v>
      </c>
      <c r="D151" s="20">
        <v>46266</v>
      </c>
      <c r="E151" s="20">
        <v>46263</v>
      </c>
      <c r="F151" s="21" t="s">
        <v>428</v>
      </c>
      <c r="G151" s="19" t="s">
        <v>73</v>
      </c>
      <c r="H151" s="19" t="s">
        <v>227</v>
      </c>
      <c r="I151" s="19" t="s">
        <v>429</v>
      </c>
      <c r="J151" s="19" t="s">
        <v>4</v>
      </c>
      <c r="K151" s="19" t="s">
        <v>190</v>
      </c>
      <c r="L151" s="25">
        <v>3800</v>
      </c>
      <c r="M151" s="22">
        <f t="shared" si="35"/>
        <v>684</v>
      </c>
      <c r="N151" s="37">
        <f t="shared" si="36"/>
        <v>4484</v>
      </c>
      <c r="O151" s="38">
        <v>180</v>
      </c>
      <c r="P151" s="39">
        <f t="shared" si="37"/>
        <v>4304</v>
      </c>
      <c r="Q151" s="23">
        <v>4304</v>
      </c>
      <c r="R151" s="46">
        <f t="shared" si="38"/>
        <v>0</v>
      </c>
      <c r="S151" s="42" t="s">
        <v>116</v>
      </c>
      <c r="T151" s="50" t="s">
        <v>117</v>
      </c>
      <c r="V151" s="19">
        <v>6119583</v>
      </c>
    </row>
    <row r="152" spans="1:22" x14ac:dyDescent="0.3">
      <c r="A152" s="19" t="s">
        <v>426</v>
      </c>
      <c r="B152" s="19" t="s">
        <v>425</v>
      </c>
      <c r="C152" s="19" t="s">
        <v>450</v>
      </c>
      <c r="D152" s="20">
        <v>46273</v>
      </c>
      <c r="E152" s="20">
        <v>46267</v>
      </c>
      <c r="F152" s="21" t="s">
        <v>428</v>
      </c>
      <c r="G152" s="19" t="s">
        <v>73</v>
      </c>
      <c r="H152" s="19" t="s">
        <v>227</v>
      </c>
      <c r="I152" s="19" t="s">
        <v>429</v>
      </c>
      <c r="J152" s="19" t="s">
        <v>4</v>
      </c>
      <c r="K152" s="19" t="s">
        <v>128</v>
      </c>
      <c r="L152" s="25">
        <v>6900</v>
      </c>
      <c r="M152" s="22">
        <f t="shared" ref="M152" si="54">L152*0.18</f>
        <v>1242</v>
      </c>
      <c r="N152" s="37">
        <f t="shared" ref="N152" si="55">L152+M152</f>
        <v>8142</v>
      </c>
      <c r="O152" s="38">
        <v>326</v>
      </c>
      <c r="P152" s="39">
        <f t="shared" ref="P152" si="56">N152-O152</f>
        <v>7816</v>
      </c>
      <c r="Q152" s="23"/>
      <c r="R152" s="46">
        <f t="shared" ref="R152" si="57">P152-Q152</f>
        <v>7816</v>
      </c>
      <c r="S152" s="50" t="s">
        <v>117</v>
      </c>
      <c r="T152" s="50" t="s">
        <v>117</v>
      </c>
    </row>
    <row r="153" spans="1:22" x14ac:dyDescent="0.3">
      <c r="A153" s="19" t="s">
        <v>82</v>
      </c>
      <c r="B153" s="19" t="s">
        <v>416</v>
      </c>
      <c r="C153" s="19" t="s">
        <v>430</v>
      </c>
      <c r="D153" s="20">
        <v>46267</v>
      </c>
      <c r="E153" s="20">
        <v>46264</v>
      </c>
      <c r="L153" s="25">
        <v>3983.05</v>
      </c>
      <c r="M153" s="22">
        <f t="shared" si="35"/>
        <v>716.94899999999996</v>
      </c>
      <c r="N153" s="37">
        <f t="shared" si="36"/>
        <v>4699.9989999999998</v>
      </c>
      <c r="O153" s="38">
        <f t="shared" si="45"/>
        <v>187.99995999999999</v>
      </c>
      <c r="P153" s="39">
        <f t="shared" si="37"/>
        <v>4511.9990399999997</v>
      </c>
      <c r="Q153" s="23">
        <v>4512</v>
      </c>
      <c r="R153" s="46">
        <f t="shared" si="38"/>
        <v>-9.600000003047171E-4</v>
      </c>
      <c r="S153" s="42" t="s">
        <v>116</v>
      </c>
      <c r="T153" s="50" t="s">
        <v>117</v>
      </c>
      <c r="V153" s="58">
        <v>6098619</v>
      </c>
    </row>
    <row r="154" spans="1:22" x14ac:dyDescent="0.3">
      <c r="A154" s="19" t="s">
        <v>431</v>
      </c>
      <c r="B154" s="19" t="s">
        <v>432</v>
      </c>
      <c r="C154" s="19" t="s">
        <v>433</v>
      </c>
      <c r="D154" s="20">
        <v>46272</v>
      </c>
      <c r="E154" s="20">
        <v>46261</v>
      </c>
      <c r="F154" s="21" t="s">
        <v>434</v>
      </c>
      <c r="G154" s="19" t="s">
        <v>435</v>
      </c>
      <c r="J154" s="19" t="s">
        <v>149</v>
      </c>
      <c r="K154" s="19" t="s">
        <v>435</v>
      </c>
      <c r="L154" s="25">
        <v>600</v>
      </c>
      <c r="M154" s="22">
        <f t="shared" si="35"/>
        <v>108</v>
      </c>
      <c r="N154" s="37">
        <f t="shared" si="36"/>
        <v>708</v>
      </c>
      <c r="O154" s="38">
        <v>28</v>
      </c>
      <c r="P154" s="39">
        <f t="shared" si="37"/>
        <v>680</v>
      </c>
      <c r="Q154" s="23">
        <v>680</v>
      </c>
      <c r="R154" s="46">
        <f t="shared" si="38"/>
        <v>0</v>
      </c>
      <c r="S154" s="42" t="s">
        <v>116</v>
      </c>
      <c r="T154" s="50" t="s">
        <v>117</v>
      </c>
      <c r="V154" s="19">
        <v>6090250</v>
      </c>
    </row>
    <row r="155" spans="1:22" x14ac:dyDescent="0.3">
      <c r="A155" s="19" t="s">
        <v>431</v>
      </c>
      <c r="B155" s="19" t="s">
        <v>432</v>
      </c>
      <c r="C155" s="19" t="s">
        <v>439</v>
      </c>
      <c r="D155" s="20">
        <v>46272</v>
      </c>
      <c r="E155" s="20">
        <v>46260</v>
      </c>
      <c r="F155" s="21" t="s">
        <v>365</v>
      </c>
      <c r="G155" s="19" t="s">
        <v>435</v>
      </c>
      <c r="J155" s="19" t="s">
        <v>4</v>
      </c>
      <c r="K155" s="19" t="s">
        <v>435</v>
      </c>
      <c r="L155" s="24">
        <v>600</v>
      </c>
      <c r="M155" s="22">
        <f t="shared" si="35"/>
        <v>108</v>
      </c>
      <c r="N155" s="37">
        <f t="shared" si="36"/>
        <v>708</v>
      </c>
      <c r="O155" s="38">
        <v>28</v>
      </c>
      <c r="P155" s="39">
        <f t="shared" si="37"/>
        <v>680</v>
      </c>
      <c r="Q155" s="23">
        <v>680</v>
      </c>
      <c r="R155" s="46">
        <f t="shared" si="38"/>
        <v>0</v>
      </c>
      <c r="S155" s="42" t="s">
        <v>116</v>
      </c>
      <c r="T155" s="50" t="s">
        <v>117</v>
      </c>
      <c r="V155" s="19">
        <v>6097183</v>
      </c>
    </row>
    <row r="156" spans="1:22" x14ac:dyDescent="0.3">
      <c r="A156" s="19" t="s">
        <v>19</v>
      </c>
      <c r="B156" s="19" t="s">
        <v>436</v>
      </c>
      <c r="C156" s="19" t="s">
        <v>437</v>
      </c>
      <c r="D156" s="20">
        <v>46271</v>
      </c>
      <c r="E156" s="20">
        <v>46269</v>
      </c>
      <c r="F156" s="21" t="s">
        <v>438</v>
      </c>
      <c r="G156" s="19" t="s">
        <v>73</v>
      </c>
      <c r="J156" s="19" t="s">
        <v>149</v>
      </c>
      <c r="K156" s="19" t="s">
        <v>307</v>
      </c>
      <c r="L156" s="24">
        <v>3500</v>
      </c>
      <c r="M156" s="22">
        <f t="shared" si="35"/>
        <v>630</v>
      </c>
      <c r="N156" s="37">
        <f t="shared" si="36"/>
        <v>4130</v>
      </c>
      <c r="O156" s="38">
        <v>166</v>
      </c>
      <c r="P156" s="39">
        <f t="shared" si="37"/>
        <v>3964</v>
      </c>
      <c r="Q156" s="23">
        <f>1500+2464</f>
        <v>3964</v>
      </c>
      <c r="R156" s="46">
        <f t="shared" si="38"/>
        <v>0</v>
      </c>
      <c r="S156" s="42" t="s">
        <v>116</v>
      </c>
      <c r="T156" s="50" t="s">
        <v>117</v>
      </c>
      <c r="V156" s="19">
        <v>6094253</v>
      </c>
    </row>
    <row r="157" spans="1:22" x14ac:dyDescent="0.3">
      <c r="A157" s="19" t="s">
        <v>325</v>
      </c>
      <c r="B157" s="19" t="s">
        <v>440</v>
      </c>
      <c r="C157" s="19" t="s">
        <v>441</v>
      </c>
      <c r="D157" s="20">
        <v>46279</v>
      </c>
      <c r="E157" s="20">
        <v>46275</v>
      </c>
      <c r="F157" s="21" t="s">
        <v>442</v>
      </c>
      <c r="G157" s="19" t="s">
        <v>267</v>
      </c>
      <c r="J157" s="19" t="s">
        <v>149</v>
      </c>
      <c r="K157" s="19" t="s">
        <v>435</v>
      </c>
      <c r="L157" s="24">
        <v>1200</v>
      </c>
      <c r="M157" s="22">
        <f t="shared" si="35"/>
        <v>216</v>
      </c>
      <c r="N157" s="37">
        <f t="shared" si="36"/>
        <v>1416</v>
      </c>
      <c r="O157" s="38">
        <v>57</v>
      </c>
      <c r="P157" s="39">
        <f t="shared" si="37"/>
        <v>1359</v>
      </c>
      <c r="Q157" s="23"/>
      <c r="R157" s="46">
        <f t="shared" si="38"/>
        <v>1359</v>
      </c>
      <c r="S157" s="42" t="s">
        <v>116</v>
      </c>
      <c r="T157" s="50" t="s">
        <v>117</v>
      </c>
      <c r="V157" s="19">
        <v>6018608</v>
      </c>
    </row>
    <row r="158" spans="1:22" x14ac:dyDescent="0.3">
      <c r="B158" s="19" t="s">
        <v>16</v>
      </c>
      <c r="C158" s="19" t="s">
        <v>443</v>
      </c>
      <c r="D158" s="20">
        <v>46275</v>
      </c>
      <c r="E158" s="20">
        <v>46279</v>
      </c>
      <c r="F158" s="21" t="s">
        <v>52</v>
      </c>
      <c r="G158" s="19" t="s">
        <v>148</v>
      </c>
      <c r="J158" s="19" t="s">
        <v>149</v>
      </c>
      <c r="K158" s="19" t="s">
        <v>2</v>
      </c>
      <c r="L158" s="24">
        <v>5000</v>
      </c>
      <c r="M158" s="22">
        <f t="shared" si="35"/>
        <v>900</v>
      </c>
      <c r="N158" s="37">
        <f t="shared" si="36"/>
        <v>5900</v>
      </c>
      <c r="O158" s="38">
        <f t="shared" si="45"/>
        <v>236</v>
      </c>
      <c r="P158" s="39">
        <f t="shared" si="37"/>
        <v>5664</v>
      </c>
      <c r="Q158" s="23">
        <v>5664</v>
      </c>
      <c r="R158" s="46">
        <f t="shared" si="38"/>
        <v>0</v>
      </c>
      <c r="S158" s="42" t="s">
        <v>116</v>
      </c>
      <c r="T158" s="50" t="s">
        <v>117</v>
      </c>
      <c r="V158" s="19">
        <v>7190614</v>
      </c>
    </row>
    <row r="159" spans="1:22" x14ac:dyDescent="0.3">
      <c r="A159" s="19" t="s">
        <v>19</v>
      </c>
      <c r="B159" s="19" t="s">
        <v>380</v>
      </c>
      <c r="C159" s="19" t="s">
        <v>444</v>
      </c>
      <c r="D159" s="20">
        <v>46277</v>
      </c>
      <c r="E159" s="20">
        <v>46277</v>
      </c>
      <c r="F159" s="21" t="s">
        <v>445</v>
      </c>
      <c r="G159" s="19" t="s">
        <v>446</v>
      </c>
      <c r="J159" s="19" t="s">
        <v>149</v>
      </c>
      <c r="K159" s="19" t="s">
        <v>447</v>
      </c>
      <c r="L159" s="24">
        <v>4900</v>
      </c>
      <c r="M159" s="22">
        <f t="shared" si="35"/>
        <v>882</v>
      </c>
      <c r="N159" s="37">
        <f t="shared" si="36"/>
        <v>5782</v>
      </c>
      <c r="O159" s="38">
        <v>232</v>
      </c>
      <c r="P159" s="39">
        <f t="shared" si="37"/>
        <v>5550</v>
      </c>
      <c r="Q159" s="23">
        <f>2200</f>
        <v>2200</v>
      </c>
      <c r="R159" s="46">
        <f t="shared" si="38"/>
        <v>3350</v>
      </c>
      <c r="S159" s="50" t="s">
        <v>117</v>
      </c>
      <c r="T159" s="50" t="s">
        <v>117</v>
      </c>
    </row>
    <row r="160" spans="1:22" x14ac:dyDescent="0.3">
      <c r="A160" s="19" t="s">
        <v>284</v>
      </c>
      <c r="B160" s="19" t="s">
        <v>283</v>
      </c>
      <c r="C160" s="19" t="s">
        <v>451</v>
      </c>
      <c r="D160" s="20">
        <v>46273</v>
      </c>
      <c r="E160" s="20">
        <v>46269</v>
      </c>
      <c r="F160" s="21" t="s">
        <v>287</v>
      </c>
      <c r="G160" s="19" t="s">
        <v>267</v>
      </c>
      <c r="J160" s="19" t="s">
        <v>4</v>
      </c>
      <c r="K160" s="19" t="s">
        <v>4</v>
      </c>
      <c r="L160" s="24">
        <v>600</v>
      </c>
      <c r="M160" s="22">
        <f t="shared" si="35"/>
        <v>108</v>
      </c>
      <c r="N160" s="37">
        <f t="shared" si="36"/>
        <v>708</v>
      </c>
      <c r="O160" s="38">
        <v>28</v>
      </c>
      <c r="P160" s="39">
        <f t="shared" si="37"/>
        <v>680</v>
      </c>
      <c r="Q160" s="23"/>
      <c r="R160" s="46">
        <f t="shared" si="38"/>
        <v>680</v>
      </c>
      <c r="S160" s="42" t="s">
        <v>116</v>
      </c>
      <c r="T160" s="50" t="s">
        <v>117</v>
      </c>
      <c r="V160" s="58">
        <v>6031360</v>
      </c>
    </row>
    <row r="161" spans="13:20" x14ac:dyDescent="0.3">
      <c r="M161" s="22">
        <f t="shared" si="35"/>
        <v>0</v>
      </c>
      <c r="N161" s="37">
        <f t="shared" si="36"/>
        <v>0</v>
      </c>
      <c r="O161" s="38">
        <f t="shared" si="45"/>
        <v>0</v>
      </c>
      <c r="P161" s="39">
        <f t="shared" si="37"/>
        <v>0</v>
      </c>
      <c r="Q161" s="23"/>
      <c r="R161" s="46">
        <f t="shared" si="38"/>
        <v>0</v>
      </c>
      <c r="S161" s="50" t="s">
        <v>117</v>
      </c>
      <c r="T161" s="50" t="s">
        <v>117</v>
      </c>
    </row>
    <row r="162" spans="13:20" x14ac:dyDescent="0.3">
      <c r="M162" s="22">
        <f t="shared" si="35"/>
        <v>0</v>
      </c>
      <c r="N162" s="37">
        <f t="shared" si="36"/>
        <v>0</v>
      </c>
      <c r="O162" s="38">
        <f t="shared" si="45"/>
        <v>0</v>
      </c>
      <c r="P162" s="39">
        <f t="shared" si="37"/>
        <v>0</v>
      </c>
      <c r="Q162" s="23"/>
      <c r="R162" s="46">
        <f t="shared" si="38"/>
        <v>0</v>
      </c>
      <c r="S162" s="50" t="s">
        <v>117</v>
      </c>
      <c r="T162" s="50" t="s">
        <v>117</v>
      </c>
    </row>
    <row r="163" spans="13:20" x14ac:dyDescent="0.3">
      <c r="M163" s="22">
        <f t="shared" si="35"/>
        <v>0</v>
      </c>
      <c r="N163" s="37">
        <f t="shared" si="36"/>
        <v>0</v>
      </c>
      <c r="O163" s="38">
        <f t="shared" si="45"/>
        <v>0</v>
      </c>
      <c r="P163" s="39">
        <f t="shared" si="37"/>
        <v>0</v>
      </c>
      <c r="Q163" s="23"/>
      <c r="R163" s="46">
        <f t="shared" si="38"/>
        <v>0</v>
      </c>
      <c r="S163" s="50" t="s">
        <v>117</v>
      </c>
      <c r="T163" s="50" t="s">
        <v>117</v>
      </c>
    </row>
    <row r="164" spans="13:20" x14ac:dyDescent="0.3">
      <c r="M164" s="22">
        <f t="shared" si="35"/>
        <v>0</v>
      </c>
      <c r="N164" s="37">
        <f t="shared" si="36"/>
        <v>0</v>
      </c>
      <c r="O164" s="38">
        <f t="shared" si="45"/>
        <v>0</v>
      </c>
      <c r="P164" s="39">
        <f t="shared" si="37"/>
        <v>0</v>
      </c>
      <c r="Q164" s="23"/>
      <c r="R164" s="46">
        <f t="shared" si="38"/>
        <v>0</v>
      </c>
      <c r="S164" s="50" t="s">
        <v>117</v>
      </c>
      <c r="T164" s="50" t="s">
        <v>117</v>
      </c>
    </row>
    <row r="165" spans="13:20" x14ac:dyDescent="0.3">
      <c r="M165" s="22">
        <f t="shared" si="35"/>
        <v>0</v>
      </c>
      <c r="N165" s="37">
        <f t="shared" si="36"/>
        <v>0</v>
      </c>
      <c r="O165" s="38">
        <f t="shared" si="45"/>
        <v>0</v>
      </c>
      <c r="P165" s="39">
        <f t="shared" si="37"/>
        <v>0</v>
      </c>
      <c r="Q165" s="23"/>
      <c r="R165" s="46">
        <f t="shared" si="38"/>
        <v>0</v>
      </c>
      <c r="S165" s="50" t="s">
        <v>117</v>
      </c>
      <c r="T165" s="50" t="s">
        <v>117</v>
      </c>
    </row>
    <row r="166" spans="13:20" x14ac:dyDescent="0.3">
      <c r="M166" s="22">
        <f t="shared" si="35"/>
        <v>0</v>
      </c>
      <c r="N166" s="37">
        <f t="shared" si="36"/>
        <v>0</v>
      </c>
      <c r="O166" s="38">
        <f t="shared" si="45"/>
        <v>0</v>
      </c>
      <c r="P166" s="39">
        <f t="shared" si="37"/>
        <v>0</v>
      </c>
      <c r="Q166" s="23"/>
      <c r="R166" s="46">
        <f t="shared" si="38"/>
        <v>0</v>
      </c>
      <c r="S166" s="50" t="s">
        <v>117</v>
      </c>
      <c r="T166" s="50" t="s">
        <v>117</v>
      </c>
    </row>
    <row r="167" spans="13:20" x14ac:dyDescent="0.3">
      <c r="M167" s="22">
        <f t="shared" si="35"/>
        <v>0</v>
      </c>
      <c r="N167" s="37">
        <f t="shared" si="36"/>
        <v>0</v>
      </c>
      <c r="O167" s="38">
        <f t="shared" si="45"/>
        <v>0</v>
      </c>
      <c r="P167" s="39">
        <f t="shared" si="37"/>
        <v>0</v>
      </c>
      <c r="Q167" s="23"/>
      <c r="R167" s="46">
        <f t="shared" si="38"/>
        <v>0</v>
      </c>
      <c r="S167" s="50" t="s">
        <v>117</v>
      </c>
      <c r="T167" s="50" t="s">
        <v>117</v>
      </c>
    </row>
    <row r="168" spans="13:20" x14ac:dyDescent="0.3">
      <c r="M168" s="22">
        <f t="shared" si="35"/>
        <v>0</v>
      </c>
      <c r="N168" s="37">
        <f t="shared" si="36"/>
        <v>0</v>
      </c>
      <c r="O168" s="38">
        <f t="shared" si="45"/>
        <v>0</v>
      </c>
      <c r="P168" s="39">
        <f t="shared" si="37"/>
        <v>0</v>
      </c>
      <c r="Q168" s="23"/>
      <c r="R168" s="46">
        <f t="shared" si="38"/>
        <v>0</v>
      </c>
      <c r="S168" s="50" t="s">
        <v>117</v>
      </c>
      <c r="T168" s="50" t="s">
        <v>117</v>
      </c>
    </row>
    <row r="175" spans="13:20" x14ac:dyDescent="0.3">
      <c r="N175" s="24"/>
    </row>
  </sheetData>
  <sortState xmlns:xlrd2="http://schemas.microsoft.com/office/spreadsheetml/2017/richdata2" ref="A3:N28">
    <sortCondition ref="D3:D28"/>
  </sortState>
  <mergeCells count="2">
    <mergeCell ref="A1:U1"/>
    <mergeCell ref="W63:Z63"/>
  </mergeCells>
  <phoneticPr fontId="13" type="noConversion"/>
  <dataValidations count="1">
    <dataValidation type="list" allowBlank="1" showErrorMessage="1" sqref="T3 T52:U52 U29:U47 T49:U49 T50:T51 U73 T5:T48 T53:T168 S3:S168" xr:uid="{53B601C6-1C43-42AE-9C5F-FDD57C178C5E}">
      <formula1>"Pendiente,Pagado,Anulado,N/A"</formula1>
    </dataValidation>
  </dataValidations>
  <hyperlinks>
    <hyperlink ref="U86" r:id="rId1" display="https://e-plataformaunica.sunat.gob.pe/app/recaudacion/tributaria/internet/html/carrito.html" xr:uid="{AB6C8D72-BA84-4C6F-B0C2-1B911F83EBF0}"/>
    <hyperlink ref="U85" r:id="rId2" display="https://e-plataformaunica.sunat.gob.pe/app/recaudacion/tributaria/internet/html/carrito.html" xr:uid="{AE31C166-0F21-4D64-88B2-FD3D29550AB0}"/>
    <hyperlink ref="U83" r:id="rId3" display="https://e-plataformaunica.sunat.gob.pe/app/recaudacion/tributaria/internet/html/carrito.html" xr:uid="{5BB55E19-D495-4739-8DAA-1EDA35CF5A21}"/>
    <hyperlink ref="U82" r:id="rId4" display="https://e-plataformaunica.sunat.gob.pe/app/recaudacion/tributaria/internet/html/carrito.html" xr:uid="{FDEC1AEE-2857-4119-B7B6-674306D160BC}"/>
    <hyperlink ref="U81" r:id="rId5" display="https://e-plataformaunica.sunat.gob.pe/app/recaudacion/tributaria/internet/html/carrito.html" xr:uid="{91997013-A87D-4518-A8FC-4E83DEF3D738}"/>
    <hyperlink ref="U80" r:id="rId6" display="https://e-plataformaunica.sunat.gob.pe/app/recaudacion/tributaria/internet/html/carrito.html" xr:uid="{93BC6D63-8849-4744-A02A-81678A760934}"/>
    <hyperlink ref="U79" r:id="rId7" display="https://e-plataformaunica.sunat.gob.pe/app/recaudacion/tributaria/internet/html/carrito.html" xr:uid="{9CDFC237-DECF-45C0-AF0C-AB12ADDEA2E2}"/>
    <hyperlink ref="U78" r:id="rId8" display="https://e-plataformaunica.sunat.gob.pe/app/recaudacion/tributaria/internet/html/carrito.html" xr:uid="{36D42ACA-6103-43F9-883A-57EDC6BD55FA}"/>
    <hyperlink ref="U75" r:id="rId9" display="https://e-plataformaunica.sunat.gob.pe/app/recaudacion/tributaria/internet/html/carrito.html" xr:uid="{86299D63-EE8B-45B3-9271-118E6E0C3F7D}"/>
    <hyperlink ref="U71" r:id="rId10" display="https://e-plataformaunica.sunat.gob.pe/app/recaudacion/tributaria/internet/html/carrito.html" xr:uid="{5F7C6069-9FC9-4778-913F-9A9A8E6F3426}"/>
    <hyperlink ref="U69" r:id="rId11" display="https://e-plataformaunica.sunat.gob.pe/app/recaudacion/tributaria/internet/html/carrito.html" xr:uid="{672432F1-59F8-49B3-AF50-E4691DFAC7EF}"/>
    <hyperlink ref="U66" r:id="rId12" display="https://e-plataformaunica.sunat.gob.pe/app/recaudacion/tributaria/internet/html/carrito.html" xr:uid="{893776F5-D56D-4E21-AB0C-58D1C5299805}"/>
    <hyperlink ref="U65" r:id="rId13" display="https://e-plataformaunica.sunat.gob.pe/app/recaudacion/tributaria/internet/html/carrito.html" xr:uid="{3455E444-9ECD-4997-BD61-9EEAC46460A1}"/>
    <hyperlink ref="U60" r:id="rId14" display="https://e-plataformaunica.sunat.gob.pe/app/recaudacion/tributaria/internet/html/carrito.html" xr:uid="{10B9820D-91AA-4592-80DC-2A7B663AABC5}"/>
    <hyperlink ref="U132" r:id="rId15" display="https://e-plataformaunica.sunat.gob.pe/app/recaudacion/tributaria/internet/html/carrito.html" xr:uid="{09360FBA-808A-4299-9017-777EE9CA0E61}"/>
  </hyperlinks>
  <pageMargins left="0.7" right="0.7" top="0.75" bottom="0.75" header="0.3" footer="0.3"/>
  <pageSetup paperSize="9" orientation="portrait" horizontalDpi="0" verticalDpi="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783B-38A9-4852-8248-F3344B2040A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4080-8191-4557-A131-22D6F04274E0}">
  <dimension ref="A3:G36"/>
  <sheetViews>
    <sheetView topLeftCell="A16" workbookViewId="0">
      <selection activeCell="F35" sqref="A23:F35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4" width="5.6640625" bestFit="1" customWidth="1"/>
    <col min="5" max="5" width="10.5546875" bestFit="1" customWidth="1"/>
    <col min="6" max="6" width="11.88671875" bestFit="1" customWidth="1"/>
    <col min="7" max="7" width="12.77734375" bestFit="1" customWidth="1"/>
    <col min="8" max="8" width="11.77734375" bestFit="1" customWidth="1"/>
    <col min="9" max="9" width="12.77734375" bestFit="1" customWidth="1"/>
    <col min="10" max="10" width="10.5546875" bestFit="1" customWidth="1"/>
    <col min="11" max="11" width="12.77734375" bestFit="1" customWidth="1"/>
  </cols>
  <sheetData>
    <row r="3" spans="1:7" x14ac:dyDescent="0.3">
      <c r="A3" s="1" t="s">
        <v>43</v>
      </c>
      <c r="B3" t="s">
        <v>46</v>
      </c>
    </row>
    <row r="4" spans="1:7" x14ac:dyDescent="0.3">
      <c r="A4" s="2" t="s">
        <v>59</v>
      </c>
      <c r="B4" s="3">
        <v>32509</v>
      </c>
    </row>
    <row r="5" spans="1:7" x14ac:dyDescent="0.3">
      <c r="A5" s="2" t="s">
        <v>70</v>
      </c>
      <c r="B5" s="3">
        <v>25053.999894</v>
      </c>
    </row>
    <row r="6" spans="1:7" x14ac:dyDescent="0.3">
      <c r="A6" s="2" t="s">
        <v>73</v>
      </c>
      <c r="B6" s="3">
        <v>38312.004000000001</v>
      </c>
    </row>
    <row r="7" spans="1:7" x14ac:dyDescent="0.3">
      <c r="A7" s="2" t="s">
        <v>90</v>
      </c>
      <c r="B7" s="3">
        <v>0</v>
      </c>
    </row>
    <row r="8" spans="1:7" x14ac:dyDescent="0.3">
      <c r="A8" s="2" t="s">
        <v>44</v>
      </c>
      <c r="B8" s="3">
        <v>95875.003893999994</v>
      </c>
    </row>
    <row r="13" spans="1:7" x14ac:dyDescent="0.3">
      <c r="A13" s="1" t="s">
        <v>46</v>
      </c>
      <c r="B13" s="1" t="s">
        <v>45</v>
      </c>
    </row>
    <row r="14" spans="1:7" x14ac:dyDescent="0.3">
      <c r="A14" s="1" t="s">
        <v>43</v>
      </c>
      <c r="B14" t="s">
        <v>62</v>
      </c>
      <c r="C14" t="s">
        <v>63</v>
      </c>
      <c r="D14" t="s">
        <v>86</v>
      </c>
      <c r="E14" t="s">
        <v>66</v>
      </c>
      <c r="F14" t="s">
        <v>90</v>
      </c>
      <c r="G14" t="s">
        <v>44</v>
      </c>
    </row>
    <row r="15" spans="1:7" x14ac:dyDescent="0.3">
      <c r="A15" s="2" t="s">
        <v>59</v>
      </c>
      <c r="B15" s="3"/>
      <c r="C15" s="3">
        <v>18349</v>
      </c>
      <c r="D15" s="3"/>
      <c r="E15" s="3">
        <v>14160</v>
      </c>
      <c r="F15" s="3"/>
      <c r="G15" s="3">
        <v>32509</v>
      </c>
    </row>
    <row r="16" spans="1:7" x14ac:dyDescent="0.3">
      <c r="A16" s="2" t="s">
        <v>70</v>
      </c>
      <c r="B16" s="3"/>
      <c r="C16" s="3">
        <v>12154</v>
      </c>
      <c r="D16" s="3"/>
      <c r="E16" s="3">
        <v>12899.999894</v>
      </c>
      <c r="F16" s="3"/>
      <c r="G16" s="3">
        <v>25053.999894</v>
      </c>
    </row>
    <row r="17" spans="1:7" x14ac:dyDescent="0.3">
      <c r="A17" s="2" t="s">
        <v>73</v>
      </c>
      <c r="B17" s="3">
        <v>5664</v>
      </c>
      <c r="C17" s="3">
        <v>14868</v>
      </c>
      <c r="D17" s="3">
        <v>4800.0039999999999</v>
      </c>
      <c r="E17" s="3">
        <v>12980</v>
      </c>
      <c r="F17" s="3"/>
      <c r="G17" s="3">
        <v>38312.004000000001</v>
      </c>
    </row>
    <row r="18" spans="1:7" x14ac:dyDescent="0.3">
      <c r="A18" s="2" t="s">
        <v>90</v>
      </c>
      <c r="B18" s="3"/>
      <c r="C18" s="3"/>
      <c r="D18" s="3"/>
      <c r="E18" s="3"/>
      <c r="F18" s="3">
        <v>0</v>
      </c>
      <c r="G18" s="3">
        <v>0</v>
      </c>
    </row>
    <row r="19" spans="1:7" x14ac:dyDescent="0.3">
      <c r="A19" s="2" t="s">
        <v>44</v>
      </c>
      <c r="B19" s="3">
        <v>5664</v>
      </c>
      <c r="C19" s="3">
        <v>45371</v>
      </c>
      <c r="D19" s="3">
        <v>4800.0039999999999</v>
      </c>
      <c r="E19" s="3">
        <v>40039.999894</v>
      </c>
      <c r="F19" s="3">
        <v>0</v>
      </c>
      <c r="G19" s="3">
        <v>95875.003893999994</v>
      </c>
    </row>
    <row r="23" spans="1:7" x14ac:dyDescent="0.3">
      <c r="A23" s="1" t="s">
        <v>92</v>
      </c>
      <c r="B23" s="1" t="s">
        <v>45</v>
      </c>
    </row>
    <row r="24" spans="1:7" x14ac:dyDescent="0.3">
      <c r="A24" s="1" t="s">
        <v>43</v>
      </c>
      <c r="B24" t="s">
        <v>63</v>
      </c>
      <c r="C24" t="s">
        <v>86</v>
      </c>
      <c r="D24" t="s">
        <v>66</v>
      </c>
      <c r="E24" t="s">
        <v>90</v>
      </c>
      <c r="F24" t="s">
        <v>44</v>
      </c>
    </row>
    <row r="25" spans="1:7" x14ac:dyDescent="0.3">
      <c r="A25" s="2" t="s">
        <v>11</v>
      </c>
      <c r="B25">
        <v>3</v>
      </c>
      <c r="D25">
        <v>2</v>
      </c>
      <c r="F25">
        <v>5</v>
      </c>
    </row>
    <row r="26" spans="1:7" x14ac:dyDescent="0.3">
      <c r="A26" s="2" t="s">
        <v>7</v>
      </c>
      <c r="C26">
        <v>1</v>
      </c>
      <c r="D26">
        <v>1</v>
      </c>
      <c r="F26">
        <v>2</v>
      </c>
    </row>
    <row r="27" spans="1:7" x14ac:dyDescent="0.3">
      <c r="A27" s="2" t="s">
        <v>17</v>
      </c>
      <c r="B27">
        <v>1</v>
      </c>
      <c r="F27">
        <v>1</v>
      </c>
    </row>
    <row r="28" spans="1:7" x14ac:dyDescent="0.3">
      <c r="A28" s="2" t="s">
        <v>2</v>
      </c>
      <c r="B28">
        <v>1</v>
      </c>
      <c r="D28">
        <v>2</v>
      </c>
      <c r="F28">
        <v>3</v>
      </c>
    </row>
    <row r="29" spans="1:7" x14ac:dyDescent="0.3">
      <c r="A29" s="2" t="s">
        <v>22</v>
      </c>
      <c r="B29">
        <v>1</v>
      </c>
      <c r="F29">
        <v>1</v>
      </c>
    </row>
    <row r="30" spans="1:7" x14ac:dyDescent="0.3">
      <c r="A30" s="2" t="s">
        <v>9</v>
      </c>
      <c r="B30">
        <v>1</v>
      </c>
      <c r="F30">
        <v>1</v>
      </c>
    </row>
    <row r="31" spans="1:7" x14ac:dyDescent="0.3">
      <c r="A31" s="2" t="s">
        <v>12</v>
      </c>
      <c r="B31">
        <v>2</v>
      </c>
      <c r="D31">
        <v>1</v>
      </c>
      <c r="F31">
        <v>3</v>
      </c>
    </row>
    <row r="32" spans="1:7" x14ac:dyDescent="0.3">
      <c r="A32" s="2" t="s">
        <v>10</v>
      </c>
      <c r="B32">
        <v>1</v>
      </c>
      <c r="F32">
        <v>1</v>
      </c>
    </row>
    <row r="33" spans="1:6" x14ac:dyDescent="0.3">
      <c r="A33" s="2" t="s">
        <v>71</v>
      </c>
      <c r="B33">
        <v>2</v>
      </c>
      <c r="F33">
        <v>2</v>
      </c>
    </row>
    <row r="34" spans="1:6" x14ac:dyDescent="0.3">
      <c r="A34" s="2" t="s">
        <v>4</v>
      </c>
      <c r="B34">
        <v>1</v>
      </c>
      <c r="F34">
        <v>1</v>
      </c>
    </row>
    <row r="35" spans="1:6" x14ac:dyDescent="0.3">
      <c r="A35" s="2" t="s">
        <v>5</v>
      </c>
    </row>
    <row r="36" spans="1:6" x14ac:dyDescent="0.3">
      <c r="A36" s="2" t="s">
        <v>44</v>
      </c>
      <c r="B36">
        <v>13</v>
      </c>
      <c r="C36">
        <v>1</v>
      </c>
      <c r="D36">
        <v>6</v>
      </c>
      <c r="F3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2687-0788-40F8-8653-45C06F349392}">
  <dimension ref="A3:N20"/>
  <sheetViews>
    <sheetView topLeftCell="C1" workbookViewId="0">
      <selection activeCell="I3" sqref="I3:N15"/>
    </sheetView>
  </sheetViews>
  <sheetFormatPr baseColWidth="10" defaultRowHeight="14.4" x14ac:dyDescent="0.3"/>
  <cols>
    <col min="1" max="1" width="19.6640625" bestFit="1" customWidth="1"/>
    <col min="2" max="3" width="22.77734375" bestFit="1" customWidth="1"/>
    <col min="5" max="5" width="16.5546875" bestFit="1" customWidth="1"/>
    <col min="6" max="6" width="22.77734375" bestFit="1" customWidth="1"/>
    <col min="9" max="9" width="16.5546875" bestFit="1" customWidth="1"/>
    <col min="10" max="10" width="21.44140625" bestFit="1" customWidth="1"/>
    <col min="11" max="12" width="5.6640625" bestFit="1" customWidth="1"/>
    <col min="13" max="13" width="10.5546875" bestFit="1" customWidth="1"/>
    <col min="14" max="14" width="11.88671875" bestFit="1" customWidth="1"/>
  </cols>
  <sheetData>
    <row r="3" spans="1:14" x14ac:dyDescent="0.3">
      <c r="A3" s="1" t="s">
        <v>43</v>
      </c>
      <c r="B3" t="s">
        <v>229</v>
      </c>
      <c r="E3" s="1" t="s">
        <v>43</v>
      </c>
      <c r="F3" t="s">
        <v>229</v>
      </c>
      <c r="I3" s="1" t="s">
        <v>92</v>
      </c>
      <c r="J3" s="1" t="s">
        <v>45</v>
      </c>
    </row>
    <row r="4" spans="1:14" x14ac:dyDescent="0.3">
      <c r="A4" s="2" t="s">
        <v>19</v>
      </c>
      <c r="B4" s="3">
        <v>178475</v>
      </c>
      <c r="E4" s="14" t="s">
        <v>59</v>
      </c>
      <c r="F4" s="15">
        <v>48220.499400000001</v>
      </c>
      <c r="I4" s="1" t="s">
        <v>43</v>
      </c>
      <c r="J4" t="s">
        <v>63</v>
      </c>
      <c r="K4" t="s">
        <v>86</v>
      </c>
      <c r="L4" t="s">
        <v>66</v>
      </c>
      <c r="M4" t="s">
        <v>90</v>
      </c>
      <c r="N4" t="s">
        <v>44</v>
      </c>
    </row>
    <row r="5" spans="1:14" x14ac:dyDescent="0.3">
      <c r="A5" s="2" t="s">
        <v>82</v>
      </c>
      <c r="B5" s="3">
        <v>42529.996600000006</v>
      </c>
      <c r="E5" s="13" t="s">
        <v>230</v>
      </c>
      <c r="F5" s="3">
        <v>13098</v>
      </c>
      <c r="I5" s="2" t="s">
        <v>11</v>
      </c>
      <c r="J5">
        <v>3</v>
      </c>
      <c r="L5">
        <v>2</v>
      </c>
      <c r="N5">
        <v>5</v>
      </c>
    </row>
    <row r="6" spans="1:14" x14ac:dyDescent="0.3">
      <c r="A6" s="2" t="s">
        <v>138</v>
      </c>
      <c r="B6" s="3">
        <v>7080</v>
      </c>
      <c r="E6" s="13" t="s">
        <v>231</v>
      </c>
      <c r="F6" s="3">
        <v>6018</v>
      </c>
      <c r="I6" s="2" t="s">
        <v>7</v>
      </c>
      <c r="K6">
        <v>1</v>
      </c>
      <c r="L6">
        <v>1</v>
      </c>
      <c r="N6">
        <v>2</v>
      </c>
    </row>
    <row r="7" spans="1:14" x14ac:dyDescent="0.3">
      <c r="A7" s="2" t="s">
        <v>20</v>
      </c>
      <c r="B7" s="3">
        <v>2389.5</v>
      </c>
      <c r="E7" s="13" t="s">
        <v>232</v>
      </c>
      <c r="F7" s="3">
        <v>8614</v>
      </c>
      <c r="I7" s="2" t="s">
        <v>17</v>
      </c>
      <c r="J7">
        <v>1</v>
      </c>
      <c r="N7">
        <v>1</v>
      </c>
    </row>
    <row r="8" spans="1:14" x14ac:dyDescent="0.3">
      <c r="A8" s="2" t="s">
        <v>134</v>
      </c>
      <c r="B8" s="3">
        <v>11564</v>
      </c>
      <c r="E8" s="13" t="s">
        <v>233</v>
      </c>
      <c r="F8" s="3">
        <v>6578.5</v>
      </c>
      <c r="I8" s="2" t="s">
        <v>2</v>
      </c>
      <c r="J8">
        <v>1</v>
      </c>
      <c r="L8">
        <v>2</v>
      </c>
      <c r="N8">
        <v>3</v>
      </c>
    </row>
    <row r="9" spans="1:14" x14ac:dyDescent="0.3">
      <c r="A9" s="2" t="s">
        <v>44</v>
      </c>
      <c r="B9" s="3">
        <v>242038.49660000001</v>
      </c>
      <c r="E9" s="13" t="s">
        <v>234</v>
      </c>
      <c r="F9" s="3">
        <v>13911.999400000001</v>
      </c>
      <c r="I9" s="2" t="s">
        <v>22</v>
      </c>
      <c r="J9">
        <v>1</v>
      </c>
      <c r="N9">
        <v>1</v>
      </c>
    </row>
    <row r="10" spans="1:14" x14ac:dyDescent="0.3">
      <c r="E10" s="14" t="s">
        <v>70</v>
      </c>
      <c r="F10" s="15">
        <v>31543.995999999999</v>
      </c>
      <c r="I10" s="2" t="s">
        <v>9</v>
      </c>
      <c r="J10">
        <v>1</v>
      </c>
      <c r="N10">
        <v>1</v>
      </c>
    </row>
    <row r="11" spans="1:14" x14ac:dyDescent="0.3">
      <c r="E11" s="13" t="s">
        <v>232</v>
      </c>
      <c r="F11" s="3">
        <v>8850</v>
      </c>
      <c r="I11" s="2" t="s">
        <v>12</v>
      </c>
      <c r="J11">
        <v>2</v>
      </c>
      <c r="L11">
        <v>1</v>
      </c>
      <c r="N11">
        <v>3</v>
      </c>
    </row>
    <row r="12" spans="1:14" x14ac:dyDescent="0.3">
      <c r="E12" s="13" t="s">
        <v>233</v>
      </c>
      <c r="F12" s="3">
        <v>16203.995999999999</v>
      </c>
      <c r="I12" s="2" t="s">
        <v>10</v>
      </c>
      <c r="J12">
        <v>1</v>
      </c>
      <c r="N12">
        <v>1</v>
      </c>
    </row>
    <row r="13" spans="1:14" x14ac:dyDescent="0.3">
      <c r="E13" s="13" t="s">
        <v>234</v>
      </c>
      <c r="F13" s="3">
        <v>6490</v>
      </c>
      <c r="I13" s="2" t="s">
        <v>71</v>
      </c>
      <c r="J13">
        <v>2</v>
      </c>
      <c r="N13">
        <v>2</v>
      </c>
    </row>
    <row r="14" spans="1:14" x14ac:dyDescent="0.3">
      <c r="E14" s="14" t="s">
        <v>203</v>
      </c>
      <c r="F14" s="15">
        <v>6254</v>
      </c>
      <c r="I14" s="2" t="s">
        <v>4</v>
      </c>
      <c r="J14">
        <v>1</v>
      </c>
      <c r="N14">
        <v>1</v>
      </c>
    </row>
    <row r="15" spans="1:14" x14ac:dyDescent="0.3">
      <c r="E15" s="13" t="s">
        <v>234</v>
      </c>
      <c r="F15" s="3">
        <v>6254</v>
      </c>
      <c r="I15" s="2" t="s">
        <v>5</v>
      </c>
    </row>
    <row r="16" spans="1:14" x14ac:dyDescent="0.3">
      <c r="E16" s="14" t="s">
        <v>73</v>
      </c>
      <c r="F16" s="15">
        <v>156020.0012</v>
      </c>
      <c r="I16" s="2" t="s">
        <v>44</v>
      </c>
      <c r="J16">
        <v>13</v>
      </c>
      <c r="K16">
        <v>1</v>
      </c>
      <c r="L16">
        <v>6</v>
      </c>
      <c r="N16">
        <v>20</v>
      </c>
    </row>
    <row r="17" spans="5:6" x14ac:dyDescent="0.3">
      <c r="E17" s="13" t="s">
        <v>235</v>
      </c>
      <c r="F17" s="3">
        <v>5310</v>
      </c>
    </row>
    <row r="18" spans="5:6" x14ac:dyDescent="0.3">
      <c r="E18" s="13" t="s">
        <v>233</v>
      </c>
      <c r="F18" s="3">
        <v>37132.004000000001</v>
      </c>
    </row>
    <row r="19" spans="5:6" x14ac:dyDescent="0.3">
      <c r="E19" s="13" t="s">
        <v>234</v>
      </c>
      <c r="F19" s="3">
        <v>113577.9972</v>
      </c>
    </row>
    <row r="20" spans="5:6" x14ac:dyDescent="0.3">
      <c r="E20" s="2" t="s">
        <v>44</v>
      </c>
      <c r="F20" s="16">
        <v>242038.49660000001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92AB-A737-4F34-9F2A-6FF3D8E5D59A}">
  <dimension ref="A3:J32"/>
  <sheetViews>
    <sheetView topLeftCell="A7" workbookViewId="0">
      <selection activeCell="A3" sqref="A3"/>
    </sheetView>
  </sheetViews>
  <sheetFormatPr baseColWidth="10" defaultRowHeight="14.4" x14ac:dyDescent="0.3"/>
  <cols>
    <col min="1" max="1" width="26.5546875" bestFit="1" customWidth="1"/>
    <col min="2" max="2" width="21.44140625" bestFit="1" customWidth="1"/>
    <col min="3" max="5" width="5.6640625" bestFit="1" customWidth="1"/>
    <col min="6" max="6" width="5.77734375" bestFit="1" customWidth="1"/>
    <col min="7" max="8" width="5.6640625" bestFit="1" customWidth="1"/>
    <col min="9" max="9" width="10.5546875" bestFit="1" customWidth="1"/>
    <col min="10" max="10" width="11.88671875" bestFit="1" customWidth="1"/>
  </cols>
  <sheetData>
    <row r="3" spans="1:10" x14ac:dyDescent="0.3">
      <c r="B3" s="1" t="s">
        <v>45</v>
      </c>
    </row>
    <row r="4" spans="1:10" x14ac:dyDescent="0.3">
      <c r="A4" s="1" t="s">
        <v>43</v>
      </c>
      <c r="B4" t="s">
        <v>205</v>
      </c>
      <c r="C4" t="s">
        <v>188</v>
      </c>
      <c r="D4" t="s">
        <v>63</v>
      </c>
      <c r="E4" t="s">
        <v>86</v>
      </c>
      <c r="F4" t="s">
        <v>214</v>
      </c>
      <c r="G4" t="s">
        <v>199</v>
      </c>
      <c r="H4" t="s">
        <v>66</v>
      </c>
      <c r="I4" t="s">
        <v>90</v>
      </c>
      <c r="J4" t="s">
        <v>44</v>
      </c>
    </row>
    <row r="5" spans="1:10" x14ac:dyDescent="0.3">
      <c r="A5" s="2" t="s">
        <v>102</v>
      </c>
    </row>
    <row r="6" spans="1:10" x14ac:dyDescent="0.3">
      <c r="A6" s="2" t="s">
        <v>221</v>
      </c>
    </row>
    <row r="7" spans="1:10" x14ac:dyDescent="0.3">
      <c r="A7" s="2" t="s">
        <v>11</v>
      </c>
    </row>
    <row r="8" spans="1:10" x14ac:dyDescent="0.3">
      <c r="A8" s="2" t="s">
        <v>217</v>
      </c>
    </row>
    <row r="9" spans="1:10" x14ac:dyDescent="0.3">
      <c r="A9" s="2" t="s">
        <v>126</v>
      </c>
    </row>
    <row r="10" spans="1:10" x14ac:dyDescent="0.3">
      <c r="A10" s="2" t="s">
        <v>7</v>
      </c>
    </row>
    <row r="11" spans="1:10" x14ac:dyDescent="0.3">
      <c r="A11" s="2" t="s">
        <v>187</v>
      </c>
    </row>
    <row r="12" spans="1:10" x14ac:dyDescent="0.3">
      <c r="A12" s="2" t="s">
        <v>183</v>
      </c>
    </row>
    <row r="13" spans="1:10" x14ac:dyDescent="0.3">
      <c r="A13" s="2" t="s">
        <v>190</v>
      </c>
    </row>
    <row r="14" spans="1:10" x14ac:dyDescent="0.3">
      <c r="A14" s="2" t="s">
        <v>219</v>
      </c>
    </row>
    <row r="15" spans="1:10" x14ac:dyDescent="0.3">
      <c r="A15" s="2" t="s">
        <v>17</v>
      </c>
    </row>
    <row r="16" spans="1:10" x14ac:dyDescent="0.3">
      <c r="A16" s="2" t="s">
        <v>128</v>
      </c>
    </row>
    <row r="17" spans="1:1" x14ac:dyDescent="0.3">
      <c r="A17" s="2" t="s">
        <v>4</v>
      </c>
    </row>
    <row r="18" spans="1:1" x14ac:dyDescent="0.3">
      <c r="A18" s="2" t="s">
        <v>5</v>
      </c>
    </row>
    <row r="19" spans="1:1" x14ac:dyDescent="0.3">
      <c r="A19" s="2" t="s">
        <v>103</v>
      </c>
    </row>
    <row r="20" spans="1:1" x14ac:dyDescent="0.3">
      <c r="A20" s="2" t="s">
        <v>2</v>
      </c>
    </row>
    <row r="21" spans="1:1" x14ac:dyDescent="0.3">
      <c r="A21" s="2" t="s">
        <v>69</v>
      </c>
    </row>
    <row r="22" spans="1:1" x14ac:dyDescent="0.3">
      <c r="A22" s="2" t="s">
        <v>22</v>
      </c>
    </row>
    <row r="23" spans="1:1" x14ac:dyDescent="0.3">
      <c r="A23" s="2" t="s">
        <v>9</v>
      </c>
    </row>
    <row r="24" spans="1:1" x14ac:dyDescent="0.3">
      <c r="A24" s="2" t="s">
        <v>12</v>
      </c>
    </row>
    <row r="25" spans="1:1" x14ac:dyDescent="0.3">
      <c r="A25" s="2" t="s">
        <v>125</v>
      </c>
    </row>
    <row r="26" spans="1:1" x14ac:dyDescent="0.3">
      <c r="A26" s="2" t="s">
        <v>10</v>
      </c>
    </row>
    <row r="27" spans="1:1" x14ac:dyDescent="0.3">
      <c r="A27" s="2" t="s">
        <v>71</v>
      </c>
    </row>
    <row r="28" spans="1:1" x14ac:dyDescent="0.3">
      <c r="A28" s="2" t="s">
        <v>136</v>
      </c>
    </row>
    <row r="29" spans="1:1" x14ac:dyDescent="0.3">
      <c r="A29" s="2" t="s">
        <v>204</v>
      </c>
    </row>
    <row r="30" spans="1:1" x14ac:dyDescent="0.3">
      <c r="A30" s="2" t="s">
        <v>127</v>
      </c>
    </row>
    <row r="31" spans="1:1" x14ac:dyDescent="0.3">
      <c r="A31" s="2" t="s">
        <v>90</v>
      </c>
    </row>
    <row r="32" spans="1:1" x14ac:dyDescent="0.3">
      <c r="A32" s="2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CA7B-A10B-4C27-A192-26937F240069}">
  <dimension ref="A1:C31"/>
  <sheetViews>
    <sheetView workbookViewId="0">
      <selection activeCell="H6" sqref="H6:H7"/>
    </sheetView>
  </sheetViews>
  <sheetFormatPr baseColWidth="10" defaultRowHeight="14.4" x14ac:dyDescent="0.3"/>
  <cols>
    <col min="1" max="1" width="4.33203125" customWidth="1"/>
  </cols>
  <sheetData>
    <row r="1" spans="1:3" x14ac:dyDescent="0.3">
      <c r="A1" s="11" t="s">
        <v>140</v>
      </c>
      <c r="B1" s="11" t="s">
        <v>157</v>
      </c>
    </row>
    <row r="2" spans="1:3" x14ac:dyDescent="0.3">
      <c r="A2">
        <v>1</v>
      </c>
      <c r="B2" s="12" t="s">
        <v>158</v>
      </c>
    </row>
    <row r="3" spans="1:3" x14ac:dyDescent="0.3">
      <c r="A3">
        <v>2</v>
      </c>
      <c r="B3" s="12" t="s">
        <v>159</v>
      </c>
    </row>
    <row r="4" spans="1:3" x14ac:dyDescent="0.3">
      <c r="A4">
        <v>3</v>
      </c>
      <c r="B4" s="12" t="s">
        <v>160</v>
      </c>
    </row>
    <row r="5" spans="1:3" x14ac:dyDescent="0.3">
      <c r="A5">
        <v>4</v>
      </c>
      <c r="B5" s="12" t="s">
        <v>161</v>
      </c>
    </row>
    <row r="6" spans="1:3" x14ac:dyDescent="0.3">
      <c r="A6">
        <v>5</v>
      </c>
      <c r="B6" s="12" t="s">
        <v>162</v>
      </c>
      <c r="C6" s="12"/>
    </row>
    <row r="7" spans="1:3" x14ac:dyDescent="0.3">
      <c r="A7">
        <v>6</v>
      </c>
      <c r="B7" s="12" t="s">
        <v>163</v>
      </c>
      <c r="C7" s="12"/>
    </row>
    <row r="8" spans="1:3" x14ac:dyDescent="0.3">
      <c r="A8">
        <v>7</v>
      </c>
      <c r="B8" t="s">
        <v>164</v>
      </c>
    </row>
    <row r="9" spans="1:3" x14ac:dyDescent="0.3">
      <c r="A9">
        <v>8</v>
      </c>
      <c r="B9" t="s">
        <v>165</v>
      </c>
    </row>
    <row r="10" spans="1:3" x14ac:dyDescent="0.3">
      <c r="A10">
        <v>9</v>
      </c>
      <c r="B10" t="s">
        <v>166</v>
      </c>
    </row>
    <row r="11" spans="1:3" x14ac:dyDescent="0.3">
      <c r="A11">
        <v>10</v>
      </c>
      <c r="B11" t="s">
        <v>167</v>
      </c>
    </row>
    <row r="12" spans="1:3" x14ac:dyDescent="0.3">
      <c r="A12">
        <v>11</v>
      </c>
      <c r="B12" t="s">
        <v>168</v>
      </c>
    </row>
    <row r="13" spans="1:3" x14ac:dyDescent="0.3">
      <c r="A13">
        <v>12</v>
      </c>
      <c r="B13" t="s">
        <v>169</v>
      </c>
    </row>
    <row r="14" spans="1:3" x14ac:dyDescent="0.3">
      <c r="A14">
        <v>13</v>
      </c>
      <c r="B14" t="s">
        <v>170</v>
      </c>
    </row>
    <row r="15" spans="1:3" x14ac:dyDescent="0.3">
      <c r="A15">
        <v>14</v>
      </c>
      <c r="B15" t="s">
        <v>171</v>
      </c>
    </row>
    <row r="16" spans="1:3" x14ac:dyDescent="0.3">
      <c r="A16">
        <v>15</v>
      </c>
      <c r="B16" t="s">
        <v>172</v>
      </c>
    </row>
    <row r="17" spans="1:2" x14ac:dyDescent="0.3">
      <c r="A17">
        <v>16</v>
      </c>
      <c r="B17" t="s">
        <v>173</v>
      </c>
    </row>
    <row r="18" spans="1:2" x14ac:dyDescent="0.3">
      <c r="A18">
        <v>17</v>
      </c>
      <c r="B18" t="s">
        <v>174</v>
      </c>
    </row>
    <row r="19" spans="1:2" x14ac:dyDescent="0.3">
      <c r="A19">
        <v>18</v>
      </c>
      <c r="B19" t="s">
        <v>175</v>
      </c>
    </row>
    <row r="20" spans="1:2" x14ac:dyDescent="0.3">
      <c r="A20">
        <v>19</v>
      </c>
      <c r="B20" t="s">
        <v>178</v>
      </c>
    </row>
    <row r="21" spans="1:2" x14ac:dyDescent="0.3">
      <c r="A21">
        <v>20</v>
      </c>
      <c r="B21" t="s">
        <v>179</v>
      </c>
    </row>
    <row r="22" spans="1:2" x14ac:dyDescent="0.3">
      <c r="A22">
        <v>21</v>
      </c>
      <c r="B22" t="s">
        <v>176</v>
      </c>
    </row>
    <row r="23" spans="1:2" x14ac:dyDescent="0.3">
      <c r="A23">
        <v>22</v>
      </c>
      <c r="B23" t="s">
        <v>177</v>
      </c>
    </row>
    <row r="24" spans="1:2" x14ac:dyDescent="0.3">
      <c r="A24">
        <v>23</v>
      </c>
      <c r="B24" t="s">
        <v>180</v>
      </c>
    </row>
    <row r="25" spans="1:2" x14ac:dyDescent="0.3">
      <c r="A25">
        <v>24</v>
      </c>
      <c r="B25" t="s">
        <v>181</v>
      </c>
    </row>
    <row r="26" spans="1:2" x14ac:dyDescent="0.3">
      <c r="A26">
        <v>25</v>
      </c>
    </row>
    <row r="27" spans="1:2" x14ac:dyDescent="0.3">
      <c r="A27">
        <v>26</v>
      </c>
    </row>
    <row r="28" spans="1:2" x14ac:dyDescent="0.3">
      <c r="A28">
        <v>27</v>
      </c>
    </row>
    <row r="29" spans="1:2" x14ac:dyDescent="0.3">
      <c r="A29">
        <v>28</v>
      </c>
    </row>
    <row r="30" spans="1:2" x14ac:dyDescent="0.3">
      <c r="A30">
        <v>29</v>
      </c>
    </row>
    <row r="31" spans="1:2" x14ac:dyDescent="0.3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970F-592A-4121-928C-0EF21C6EA930}">
  <dimension ref="A1:I10"/>
  <sheetViews>
    <sheetView workbookViewId="0">
      <selection activeCell="E12" sqref="A1:E12"/>
    </sheetView>
  </sheetViews>
  <sheetFormatPr baseColWidth="10" defaultRowHeight="14.4" x14ac:dyDescent="0.3"/>
  <cols>
    <col min="5" max="5" width="17.5546875" customWidth="1"/>
  </cols>
  <sheetData>
    <row r="1" spans="1:9" x14ac:dyDescent="0.3">
      <c r="A1" s="71" t="s">
        <v>124</v>
      </c>
      <c r="B1" s="71"/>
      <c r="C1" s="71"/>
      <c r="D1" s="71"/>
      <c r="E1" s="71"/>
    </row>
    <row r="2" spans="1:9" ht="15" thickBot="1" x14ac:dyDescent="0.35"/>
    <row r="3" spans="1:9" x14ac:dyDescent="0.3">
      <c r="A3" s="62" t="s">
        <v>122</v>
      </c>
      <c r="B3" s="63"/>
      <c r="C3" s="63"/>
      <c r="D3" s="63"/>
      <c r="E3" s="64"/>
    </row>
    <row r="4" spans="1:9" x14ac:dyDescent="0.3">
      <c r="A4" s="65"/>
      <c r="B4" s="66"/>
      <c r="C4" s="66"/>
      <c r="D4" s="66"/>
      <c r="E4" s="67"/>
    </row>
    <row r="5" spans="1:9" ht="15" thickBot="1" x14ac:dyDescent="0.35">
      <c r="A5" s="68"/>
      <c r="B5" s="69"/>
      <c r="C5" s="69"/>
      <c r="D5" s="69"/>
      <c r="E5" s="70"/>
    </row>
    <row r="7" spans="1:9" ht="15" thickBot="1" x14ac:dyDescent="0.35"/>
    <row r="8" spans="1:9" x14ac:dyDescent="0.3">
      <c r="A8" s="62" t="s">
        <v>123</v>
      </c>
      <c r="B8" s="63"/>
      <c r="C8" s="63"/>
      <c r="D8" s="63"/>
      <c r="E8" s="64"/>
    </row>
    <row r="9" spans="1:9" x14ac:dyDescent="0.3">
      <c r="A9" s="65"/>
      <c r="B9" s="66"/>
      <c r="C9" s="66"/>
      <c r="D9" s="66"/>
      <c r="E9" s="67"/>
      <c r="I9" s="4" t="s">
        <v>91</v>
      </c>
    </row>
    <row r="10" spans="1:9" ht="15" thickBot="1" x14ac:dyDescent="0.35">
      <c r="A10" s="68"/>
      <c r="B10" s="69"/>
      <c r="C10" s="69"/>
      <c r="D10" s="69"/>
      <c r="E10" s="70"/>
    </row>
  </sheetData>
  <mergeCells count="3">
    <mergeCell ref="A3:E5"/>
    <mergeCell ref="A8:E10"/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6BAC-71ED-417F-82FC-E010E2E8B8D4}">
  <dimension ref="A1:H13"/>
  <sheetViews>
    <sheetView workbookViewId="0">
      <selection activeCell="G19" sqref="G19"/>
    </sheetView>
  </sheetViews>
  <sheetFormatPr baseColWidth="10" defaultRowHeight="14.4" x14ac:dyDescent="0.3"/>
  <cols>
    <col min="1" max="1" width="3" bestFit="1" customWidth="1"/>
    <col min="6" max="6" width="13.77734375" bestFit="1" customWidth="1"/>
  </cols>
  <sheetData>
    <row r="1" spans="1:8" x14ac:dyDescent="0.3">
      <c r="A1" s="5" t="s">
        <v>140</v>
      </c>
      <c r="B1" s="6" t="s">
        <v>141</v>
      </c>
      <c r="C1" s="7" t="s">
        <v>142</v>
      </c>
      <c r="D1" s="7" t="s">
        <v>143</v>
      </c>
      <c r="E1" s="8" t="s">
        <v>144</v>
      </c>
      <c r="F1" s="6" t="s">
        <v>145</v>
      </c>
      <c r="G1" s="6" t="s">
        <v>154</v>
      </c>
      <c r="H1" s="6" t="s">
        <v>146</v>
      </c>
    </row>
    <row r="2" spans="1:8" x14ac:dyDescent="0.3">
      <c r="A2" s="9">
        <v>1</v>
      </c>
      <c r="B2" s="9" t="s">
        <v>147</v>
      </c>
      <c r="C2" s="9" t="s">
        <v>149</v>
      </c>
      <c r="D2" s="9" t="s">
        <v>151</v>
      </c>
      <c r="E2" s="9" t="s">
        <v>53</v>
      </c>
      <c r="F2" s="10">
        <v>46147</v>
      </c>
      <c r="G2" s="9">
        <v>3.9</v>
      </c>
      <c r="H2" s="9">
        <v>150</v>
      </c>
    </row>
    <row r="3" spans="1:8" x14ac:dyDescent="0.3">
      <c r="A3" s="9">
        <v>2</v>
      </c>
      <c r="B3" s="9" t="s">
        <v>147</v>
      </c>
      <c r="C3" s="9" t="s">
        <v>149</v>
      </c>
      <c r="D3" s="9" t="s">
        <v>150</v>
      </c>
      <c r="E3" s="9" t="s">
        <v>79</v>
      </c>
      <c r="F3" s="10">
        <v>46147</v>
      </c>
      <c r="G3" s="9">
        <v>2.1</v>
      </c>
      <c r="H3" s="9">
        <v>170</v>
      </c>
    </row>
    <row r="4" spans="1:8" x14ac:dyDescent="0.3">
      <c r="A4" s="9">
        <v>3</v>
      </c>
      <c r="B4" s="9" t="s">
        <v>147</v>
      </c>
      <c r="C4" s="9" t="s">
        <v>149</v>
      </c>
      <c r="D4" s="9" t="s">
        <v>152</v>
      </c>
      <c r="E4" s="9" t="s">
        <v>50</v>
      </c>
      <c r="F4" s="10">
        <v>46147</v>
      </c>
      <c r="G4" s="9">
        <v>1.6</v>
      </c>
      <c r="H4" s="9">
        <f>220+20</f>
        <v>240</v>
      </c>
    </row>
    <row r="5" spans="1:8" x14ac:dyDescent="0.3">
      <c r="A5" s="9">
        <v>4</v>
      </c>
      <c r="B5" s="9" t="s">
        <v>147</v>
      </c>
      <c r="C5" s="9" t="s">
        <v>149</v>
      </c>
      <c r="D5" s="9" t="s">
        <v>101</v>
      </c>
      <c r="E5" s="9" t="s">
        <v>53</v>
      </c>
      <c r="F5" s="10">
        <v>46147</v>
      </c>
      <c r="G5" s="9">
        <v>3.5</v>
      </c>
      <c r="H5" s="9">
        <v>150</v>
      </c>
    </row>
    <row r="6" spans="1:8" x14ac:dyDescent="0.3">
      <c r="A6" s="9">
        <v>5</v>
      </c>
      <c r="B6" s="9" t="s">
        <v>147</v>
      </c>
      <c r="C6" s="9" t="s">
        <v>149</v>
      </c>
      <c r="D6" s="9" t="s">
        <v>80</v>
      </c>
      <c r="E6" s="9" t="s">
        <v>79</v>
      </c>
      <c r="F6" s="10">
        <v>46148</v>
      </c>
      <c r="G6" s="9">
        <v>9</v>
      </c>
      <c r="H6" s="9">
        <v>350</v>
      </c>
    </row>
    <row r="7" spans="1:8" x14ac:dyDescent="0.3">
      <c r="A7" s="9">
        <v>6</v>
      </c>
      <c r="B7" s="9" t="s">
        <v>147</v>
      </c>
      <c r="C7" s="9" t="s">
        <v>149</v>
      </c>
      <c r="D7" s="9" t="s">
        <v>100</v>
      </c>
      <c r="E7" s="9" t="s">
        <v>50</v>
      </c>
      <c r="F7" s="10">
        <v>46147</v>
      </c>
      <c r="G7" s="9"/>
      <c r="H7" s="9">
        <v>30</v>
      </c>
    </row>
    <row r="8" spans="1:8" x14ac:dyDescent="0.3">
      <c r="A8" s="9">
        <v>7</v>
      </c>
      <c r="B8" s="9" t="s">
        <v>147</v>
      </c>
      <c r="C8" s="9" t="s">
        <v>149</v>
      </c>
      <c r="D8" s="9" t="s">
        <v>68</v>
      </c>
      <c r="E8" s="9"/>
      <c r="F8" s="10">
        <v>46148</v>
      </c>
      <c r="G8" s="9">
        <v>3</v>
      </c>
      <c r="H8" s="9">
        <v>33</v>
      </c>
    </row>
    <row r="9" spans="1:8" x14ac:dyDescent="0.3">
      <c r="A9" s="9">
        <v>8</v>
      </c>
      <c r="B9" s="9" t="s">
        <v>147</v>
      </c>
      <c r="C9" s="9" t="s">
        <v>149</v>
      </c>
      <c r="D9" s="9" t="s">
        <v>12</v>
      </c>
      <c r="E9" s="9"/>
      <c r="F9" s="10">
        <v>46148</v>
      </c>
      <c r="G9" s="9"/>
      <c r="H9" s="9">
        <v>40</v>
      </c>
    </row>
    <row r="10" spans="1:8" x14ac:dyDescent="0.3">
      <c r="A10" s="9">
        <v>9</v>
      </c>
      <c r="B10" s="9" t="s">
        <v>147</v>
      </c>
      <c r="C10" s="9" t="s">
        <v>149</v>
      </c>
      <c r="D10" s="9" t="s">
        <v>69</v>
      </c>
      <c r="E10" s="9"/>
      <c r="F10" s="10">
        <v>46149</v>
      </c>
      <c r="G10" s="9"/>
      <c r="H10" s="9"/>
    </row>
    <row r="11" spans="1:8" x14ac:dyDescent="0.3">
      <c r="A11" s="9">
        <v>10</v>
      </c>
      <c r="B11" s="9" t="s">
        <v>147</v>
      </c>
      <c r="C11" s="9" t="s">
        <v>149</v>
      </c>
      <c r="D11" s="9" t="s">
        <v>153</v>
      </c>
      <c r="E11" s="9"/>
      <c r="F11" s="10">
        <v>46149</v>
      </c>
      <c r="G11" s="9"/>
      <c r="H11" s="9"/>
    </row>
    <row r="12" spans="1:8" x14ac:dyDescent="0.3">
      <c r="A12" s="9">
        <v>11</v>
      </c>
      <c r="B12" s="9" t="s">
        <v>148</v>
      </c>
      <c r="C12" s="9" t="s">
        <v>149</v>
      </c>
      <c r="D12" s="9" t="s">
        <v>12</v>
      </c>
      <c r="E12" s="9"/>
      <c r="F12" s="10">
        <v>46148</v>
      </c>
      <c r="G12" s="9"/>
      <c r="H12" s="9"/>
    </row>
    <row r="13" spans="1:8" x14ac:dyDescent="0.3">
      <c r="A13" s="9">
        <v>12</v>
      </c>
      <c r="B13" s="9" t="s">
        <v>148</v>
      </c>
      <c r="C13" s="9" t="s">
        <v>149</v>
      </c>
      <c r="D13" s="9"/>
      <c r="E13" s="9"/>
      <c r="F13" s="9"/>
      <c r="G13" s="9"/>
      <c r="H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PROVEEDORES LOCAL-PROVINCIA</vt:lpstr>
      <vt:lpstr>Hoja1</vt:lpstr>
      <vt:lpstr>TD 1</vt:lpstr>
      <vt:lpstr>TD 2 MAYO</vt:lpstr>
      <vt:lpstr>Hoja8</vt:lpstr>
      <vt:lpstr>Hoja5</vt:lpstr>
      <vt:lpstr>COMO FACTURAR</vt:lpstr>
      <vt:lpstr>CONTROL DE COSTOS POR ESTIBA</vt:lpstr>
      <vt:lpstr>'PROVEEDORES LOCAL-PROVINCIA'!Área_de_impresión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JEANPIERRE RIMAY PEREZ</dc:creator>
  <cp:lastModifiedBy>JEANPIERRE RIMAY PEREZ</cp:lastModifiedBy>
  <dcterms:created xsi:type="dcterms:W3CDTF">2026-05-04T22:21:48Z</dcterms:created>
  <dcterms:modified xsi:type="dcterms:W3CDTF">2026-09-26T14:30:42Z</dcterms:modified>
</cp:coreProperties>
</file>